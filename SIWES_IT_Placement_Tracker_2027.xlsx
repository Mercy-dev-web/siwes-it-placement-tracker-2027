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My Datasets (Projects)\"/>
    </mc:Choice>
  </mc:AlternateContent>
  <xr:revisionPtr revIDLastSave="0" documentId="13_ncr:1_{6202E785-66EF-40F9-A120-2048591BFA40}" xr6:coauthVersionLast="47" xr6:coauthVersionMax="47" xr10:uidLastSave="{00000000-0000-0000-0000-000000000000}"/>
  <bookViews>
    <workbookView xWindow="-110" yWindow="-110" windowWidth="19420" windowHeight="10420" firstSheet="1" activeTab="4" xr2:uid="{00000000-000D-0000-FFFF-FFFF00000000}"/>
  </bookViews>
  <sheets>
    <sheet name="Company Shortlist" sheetId="1" r:id="rId1"/>
    <sheet name="Application Tracker" sheetId="2" r:id="rId2"/>
    <sheet name="Relocation Budget" sheetId="3" r:id="rId3"/>
    <sheet name="Document Checklist" sheetId="4" r:id="rId4"/>
    <sheet name="Dashboard" sheetId="5" r:id="rId5"/>
  </sheets>
  <definedNames>
    <definedName name="_xlnm._FilterDatabase" localSheetId="1" hidden="1">'Application Tracker'!$A$4:$AA$104</definedName>
    <definedName name="_xlnm._FilterDatabase" localSheetId="0" hidden="1">'Company Shortlist'!$A$4:$V$16</definedName>
    <definedName name="_xlnm._FilterDatabase" localSheetId="3" hidden="1">'Document Checklist'!$A$4:$F$104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5" l="1"/>
  <c r="B25" i="5"/>
  <c r="B24" i="5"/>
  <c r="B23" i="5"/>
  <c r="B22" i="5"/>
  <c r="B21" i="5"/>
  <c r="E20" i="5"/>
  <c r="B20" i="5"/>
  <c r="E19" i="5"/>
  <c r="B19" i="5"/>
  <c r="E18" i="5"/>
  <c r="B18" i="5"/>
  <c r="E14" i="5"/>
  <c r="A14" i="5"/>
  <c r="E11" i="5"/>
  <c r="A11" i="5"/>
  <c r="E8" i="5"/>
  <c r="A8" i="5"/>
  <c r="E5" i="5"/>
  <c r="A5" i="5"/>
  <c r="B34" i="3"/>
  <c r="B29" i="3"/>
  <c r="B30" i="3" s="1"/>
  <c r="B27" i="3"/>
  <c r="B26" i="3"/>
  <c r="B33" i="3" s="1"/>
  <c r="B28" i="3" l="1"/>
  <c r="B32" i="3" s="1"/>
  <c r="B31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S5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Official Seplat careers page: https://www.seplatenergy.com/careers/career-opportunities/ — confirms undergraduate internship scheme; eligible students must provide HOD-issued SIWES letter; durations may be 3, 6 or 12 months.</t>
        </r>
      </text>
    </comment>
    <comment ref="S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Official NIQ jobs portal: https://nielseniq.com/global/en/jobs/ — shows Analytics and Data Science &amp; Business Intelligence job teams and an Intern listing in Lagos; does not establish SIWES acceptance.</t>
        </r>
      </text>
    </comment>
    <comment ref="S8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Official careers page: https://interswitchgroup.com/company/careers — general career opportunities; SIWES not confirmed from this page.</t>
        </r>
      </text>
    </comment>
    <comment ref="S9" authorId="0" shapeId="0" xr:uid="{00000000-0006-0000-0000-000004000000}">
      <text>
        <r>
          <rPr>
            <sz val="11"/>
            <color theme="1"/>
            <rFont val="Calibri"/>
            <family val="2"/>
            <scheme val="minor"/>
          </rPr>
          <t>Official MTN careers: https://www.mtn.ng/career/ and https://www.mtn.ng/careers-home/ — recruitment / graduate programme information; SIWES route not confirmed.</t>
        </r>
      </text>
    </comment>
    <comment ref="O10" authorId="0" shapeId="0" xr:uid="{00000000-0006-0000-0000-000005000000}">
      <text>
        <r>
          <rPr>
            <sz val="11"/>
            <color theme="1"/>
            <rFont val="Calibri"/>
            <family val="2"/>
            <scheme val="minor"/>
          </rPr>
          <t>Official Nestlé students and graduates page: https://www.nestle.com/jobs/students-graduates. General/global internship information is not proof of Nigeria-specific SIWES eligibility.</t>
        </r>
      </text>
    </comment>
    <comment ref="S10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Nestlé official internship FAQ: https://www.nestle.com/jobs/faqs — confirms internships are paid across locations; does not specify Nigeria SIWES eligibility or stipend amount.</t>
        </r>
      </text>
    </comment>
    <comment ref="S16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Official Shell Nigeria SIWES page: https://www.shell.com.ng/careers/students-and-graduates/student-industrial-training-and-internship-program.html — confirms SIWES and 3.5/5.0 university CGPA minimum; does not state a six-month duration.</t>
        </r>
      </text>
    </comment>
  </commentList>
</comments>
</file>

<file path=xl/sharedStrings.xml><?xml version="1.0" encoding="utf-8"?>
<sst xmlns="http://schemas.openxmlformats.org/spreadsheetml/2006/main" count="1050" uniqueCount="248">
  <si>
    <t>Research snapshot: 30 October 2026. 'Not confirmed' means no reliable public confirmation found; verify directly before making relocation or eligibility decisions.</t>
  </si>
  <si>
    <t>Ranking</t>
  </si>
  <si>
    <t>Organisation name</t>
  </si>
  <si>
    <t>Industry</t>
  </si>
  <si>
    <t>Office location</t>
  </si>
  <si>
    <t>Relevant departments for my career interests</t>
  </si>
  <si>
    <t>Does the company accept SIWES students?</t>
  </si>
  <si>
    <t>Does it accept six-month placements?</t>
  </si>
  <si>
    <t>Minimum CGPA requirement</t>
  </si>
  <si>
    <t>Monthly SIWES stipend</t>
  </si>
  <si>
    <t>Accommodation provided?</t>
  </si>
  <si>
    <t>Transport allowance or shuttle?</t>
  </si>
  <si>
    <t>Feeding or meal benefits?</t>
  </si>
  <si>
    <t>Application opening date</t>
  </si>
  <si>
    <t>Application deadline</t>
  </si>
  <si>
    <t>Official careers website</t>
  </si>
  <si>
    <t>HR/recruitment contact</t>
  </si>
  <si>
    <t>Current application status</t>
  </si>
  <si>
    <t>Overall suitability rating out of 10</t>
  </si>
  <si>
    <t>Notes and next steps</t>
  </si>
  <si>
    <t>OAU Students Accepted?</t>
  </si>
  <si>
    <t>Analytics-Related Role Available?</t>
  </si>
  <si>
    <t>Official SIWES Vacancy?</t>
  </si>
  <si>
    <t>Seplat Energy</t>
  </si>
  <si>
    <t>Energy</t>
  </si>
  <si>
    <t>Lagos / operational locations</t>
  </si>
  <si>
    <t>Business intelligence; data analytics; commercial; strategy; finance</t>
  </si>
  <si>
    <t>Yes – official undergraduate internship scheme; SIWES letter from HOD required</t>
  </si>
  <si>
    <t>Yes – official page states 3, 6 or 12 months</t>
  </si>
  <si>
    <t>Not confirmed</t>
  </si>
  <si>
    <t>Not announced for 2027</t>
  </si>
  <si>
    <t>https://www.seplatenergy.com/careers/career-opportunities/</t>
  </si>
  <si>
    <t>recruitment@seplatenergy.com (published general recruitment contact)</t>
  </si>
  <si>
    <t>Not Started</t>
  </si>
  <si>
    <t>Official source confirms undergraduate internship scheme and 3/6/12-month durations. Specific analytics placement, OAU acceptance, CGPA, stipend and relocation benefits are not confirmed. Six-month SIWES route makes this the strongest first enquiry.</t>
  </si>
  <si>
    <t>Programme page exists; 2027 SIWES vacancy not announced</t>
  </si>
  <si>
    <t>NielsenIQ (NIQ)</t>
  </si>
  <si>
    <t>Market research / data analytics</t>
  </si>
  <si>
    <t>Lagos (Nigeria roles appear on global jobs site)</t>
  </si>
  <si>
    <t>Consumer insights; analytics; data science &amp; BI; client service; research</t>
  </si>
  <si>
    <t>Not confirmed – current Lagos intern listing is not proof of SIWES acceptance</t>
  </si>
  <si>
    <t>https://nielseniq.com/global/en/jobs/</t>
  </si>
  <si>
    <t>Apply through official jobs portal</t>
  </si>
  <si>
    <t>Official jobs portal lists Analytics and Data Science &amp; Business Intelligence job teams; a Lagos Intern listing appeared, but the listing is not confirmed as SIWES or analytics. Ask about six-month attachment, OAU, department and support.</t>
  </si>
  <si>
    <t>Kantar</t>
  </si>
  <si>
    <t>Market research / consulting</t>
  </si>
  <si>
    <t>Nigeria location to confirm per vacancy</t>
  </si>
  <si>
    <t>Analytics; data science; research; strategic consultancy; client management</t>
  </si>
  <si>
    <t>Not confirmed – general early-career opportunities are not proof of SIWES acceptance</t>
  </si>
  <si>
    <t>https://careers.kantar.com/</t>
  </si>
  <si>
    <t>Use official careers portal</t>
  </si>
  <si>
    <t>Strong consumer insights / marketing analytics fit. No Nigeria-specific SIWES or six-month placement confirmed from official careers information. Ask about an industrial attachment.</t>
  </si>
  <si>
    <t>Interswitch</t>
  </si>
  <si>
    <t>Fintech / technology</t>
  </si>
  <si>
    <t>Lagos</t>
  </si>
  <si>
    <t>Data analytics; BI; product; business analysis; strategy; operations</t>
  </si>
  <si>
    <t>https://interswitchgroup.com/company/careers</t>
  </si>
  <si>
    <t>Official careers portal / Talent Community</t>
  </si>
  <si>
    <t>Strong fintech / BI / product analytics fit, but official careers page reviewed does not confirm SIWES or six-month placements. Do not assume general vacancies are SIWES.</t>
  </si>
  <si>
    <t>MTN Nigeria</t>
  </si>
  <si>
    <t>Telecommunications</t>
  </si>
  <si>
    <t>Ikoyi, Lagos</t>
  </si>
  <si>
    <t>Business intelligence; data analytics; marketing; customer insights; strategy; technology</t>
  </si>
  <si>
    <t>Not confirmed – general careers and graduate programme information is not SIWES confirmation</t>
  </si>
  <si>
    <t>https://www.mtn.ng/career/</t>
  </si>
  <si>
    <t>Official careers portal</t>
  </si>
  <si>
    <t>Strong analytics, customer and commercial exposure potential. Official careers pages do not confirm a six-month SIWES route, OAU acceptance or support benefits.</t>
  </si>
  <si>
    <t>Nestlé Nigeria</t>
  </si>
  <si>
    <t>FMCG / manufacturing</t>
  </si>
  <si>
    <t>Lagos; factory locations to confirm</t>
  </si>
  <si>
    <t>Consumer insights; sales analytics; marketing; supply chain analytics; finance; business planning</t>
  </si>
  <si>
    <t>Not confirmed for Nigeria SIWES – Nestlé confirms internships globally, not a specific OAU SIWES route</t>
  </si>
  <si>
    <t>Paid internships confirmed generally; Nigeria-specific stipend not stated</t>
  </si>
  <si>
    <t>https://www.nestle.com/jobs/students-graduates</t>
  </si>
  <si>
    <t>Official Nestlé careers / students page</t>
  </si>
  <si>
    <t>Nestlé official FAQ confirms internships are paid and run across locations; this does not verify a Nigeria SIWES vacancy, six-month duration, stipend amount or relocation benefits. Strong consumer / commercial analytics fit.</t>
  </si>
  <si>
    <t>Nigerian Bottling Company</t>
  </si>
  <si>
    <t>FMCG / beverages</t>
  </si>
  <si>
    <t>Lagos; plant locations to confirm</t>
  </si>
  <si>
    <t>Commercial analytics; sales; marketing; supply chain; finance; consumer insights</t>
  </si>
  <si>
    <t>https://www.coca-colahellenic.com/</t>
  </si>
  <si>
    <t>Use official group careers portal; verify Nigeria-specific entity and vacancies</t>
  </si>
  <si>
    <t>Potential FMCG commercial / sales analytics and consumer exposure. SIWES route, six-month duration and benefits not confirmed.</t>
  </si>
  <si>
    <t>The Coca-Cola Company</t>
  </si>
  <si>
    <t>Beverages / consumer goods</t>
  </si>
  <si>
    <t>Nigeria role location to confirm</t>
  </si>
  <si>
    <t>Marketing; consumer insights; commercial; strategy; analytics</t>
  </si>
  <si>
    <t>https://www.coca-colacompany.com/careers/early-careers</t>
  </si>
  <si>
    <t>Distinguish The Coca-Cola Company from Nigerian Bottling Company / bottling partners. Global early-career roles do not confirm Nigeria SIWES.</t>
  </si>
  <si>
    <t>Deloitte Nigeria</t>
  </si>
  <si>
    <t>Professional services / consulting</t>
  </si>
  <si>
    <t>Business analysis; consulting; data analytics; technology strategy; risk advisory</t>
  </si>
  <si>
    <t>Not confirmed – student / graduate opportunities are not proof of SIWES acceptance</t>
  </si>
  <si>
    <t>Some graduate/early-career roles require 2:1 and NYSC; do not apply that rule to SIWES without confirmation</t>
  </si>
  <si>
    <t>https://www.deloitte.com/ng/en/careers/explore-your-fit/students.html</t>
  </si>
  <si>
    <t>Official student careers page / job search</t>
  </si>
  <si>
    <t>Good business analysis / consulting / data analytics fit, but Nigeria SIWES and six-month placement are not confirmed. Do not apply graduate trainee CGPA criteria to SIWES unless stated for that vacancy.</t>
  </si>
  <si>
    <t>CWG Plc</t>
  </si>
  <si>
    <t>Technology / IT services</t>
  </si>
  <si>
    <t>Analytics; project &amp; programme management; marketing; consulting; customer success; IT</t>
  </si>
  <si>
    <t>https://cwg-plc.ng/careers</t>
  </si>
  <si>
    <t>Official careers page</t>
  </si>
  <si>
    <t>Potential technology-business and analytics exposure. No verified six-month SIWES vacancy or student support confirmed.</t>
  </si>
  <si>
    <t>Chevron Nigeria</t>
  </si>
  <si>
    <t>Business analytics; commercial; finance; supply chain; technology; strategy</t>
  </si>
  <si>
    <t>https://careers.chevron.com/nigeria</t>
  </si>
  <si>
    <t>Official Nigeria careers page</t>
  </si>
  <si>
    <t>Potential commercial / finance / business analytics exposure, but no official undergraduate SIWES route or six-month vacancy confirmed.</t>
  </si>
  <si>
    <t>Shell Nigeria</t>
  </si>
  <si>
    <t>Lagos / other operational locations</t>
  </si>
  <si>
    <t>Commercial; IT; data; business support; social sciences; engineering</t>
  </si>
  <si>
    <t>Yes – official Nigeria SIWES programme page</t>
  </si>
  <si>
    <t>Not confirmed – duration not stated on the official SIWES page</t>
  </si>
  <si>
    <t>3.5/5.0 for university students (official published requirement)</t>
  </si>
  <si>
    <t>https://www.shell.com.ng/careers/students-and-graduates/student-industrial-training-and-internship-program.html</t>
  </si>
  <si>
    <t>Internshiprecruitment@shell.com (published SIWES enquiry email)</t>
  </si>
  <si>
    <t>Official SIWES programme confirmed for Nigerian undergraduates, including Commercial and IT disciplines. Published university CGPA minimum is 3.5/5.0, above your stated current CGPA; conditional / low-priority unless eligibility changes. Six-month duration, stipend and relocation support not confirmed.</t>
  </si>
  <si>
    <t>Application Tracker</t>
  </si>
  <si>
    <t>Update this sheet as you research, contact recruiters and submit applications. Use the dropdowns to keep the dashboard current.</t>
  </si>
  <si>
    <t>Company name</t>
  </si>
  <si>
    <t>Date researched</t>
  </si>
  <si>
    <t>HR contact person's name</t>
  </si>
  <si>
    <t>HR email</t>
  </si>
  <si>
    <t>LinkedIn profile</t>
  </si>
  <si>
    <t>Date contacted</t>
  </si>
  <si>
    <t>Date application submitted</t>
  </si>
  <si>
    <t>Application method</t>
  </si>
  <si>
    <t>Documents submitted</t>
  </si>
  <si>
    <t>Response received?</t>
  </si>
  <si>
    <t>Interview date</t>
  </si>
  <si>
    <t>Placement duration confirmed?</t>
  </si>
  <si>
    <t>Stipend confirmed?</t>
  </si>
  <si>
    <t>Accommodation confirmed?</t>
  </si>
  <si>
    <t>Transport support confirmed?</t>
  </si>
  <si>
    <t>Department offered</t>
  </si>
  <si>
    <t>Application status</t>
  </si>
  <si>
    <t>Follow-up date</t>
  </si>
  <si>
    <t>Final decision</t>
  </si>
  <si>
    <t>Additional notes</t>
  </si>
  <si>
    <t>OAU students accepted?</t>
  </si>
  <si>
    <t>Six-month placement confirmed?</t>
  </si>
  <si>
    <t>Analytics-related role confirmed?</t>
  </si>
  <si>
    <t>Transport support?</t>
  </si>
  <si>
    <t>Last follow-up date</t>
  </si>
  <si>
    <t>Official SIWES vacancy?</t>
  </si>
  <si>
    <t>Lagos / Ogun Relocation Budget</t>
  </si>
  <si>
    <t>Editable planning estimates in NGN — all existing estimates are illustrative placeholders, NOT confirmed market prices. Replace with current quotes for the exact location and accommodation.</t>
  </si>
  <si>
    <t>Expense category</t>
  </si>
  <si>
    <t>Low estimate (₦/month)</t>
  </si>
  <si>
    <t>Moderate estimate (₦/month)</t>
  </si>
  <si>
    <t>High estimate (₦/month)</t>
  </si>
  <si>
    <t>Your chosen estimate (₦/month)</t>
  </si>
  <si>
    <t>Notes</t>
  </si>
  <si>
    <t>Type</t>
  </si>
  <si>
    <t>Accommodation</t>
  </si>
  <si>
    <t>Illustrative only. If free accommodation is confirmed for all six months, enter 0 in column E.</t>
  </si>
  <si>
    <t>Monthly</t>
  </si>
  <si>
    <t>Feeding</t>
  </si>
  <si>
    <t>Groceries and meals</t>
  </si>
  <si>
    <t>Transportation</t>
  </si>
  <si>
    <t>Commute to placement office</t>
  </si>
  <si>
    <t>Data and airtime</t>
  </si>
  <si>
    <t>Connectivity</t>
  </si>
  <si>
    <t>Personal expenses</t>
  </si>
  <si>
    <t>Toiletries and miscellaneous</t>
  </si>
  <si>
    <t>Electricity</t>
  </si>
  <si>
    <t>Share of electricity / utilities</t>
  </si>
  <si>
    <t>Emergency savings</t>
  </si>
  <si>
    <t>Monthly reserve</t>
  </si>
  <si>
    <t>Initial accommodation deposit</t>
  </si>
  <si>
    <t>One-time setup cost only; confirm deposit, agency and legal fees.</t>
  </si>
  <si>
    <t>One-off</t>
  </si>
  <si>
    <t>Relocation expenses</t>
  </si>
  <si>
    <t>One-time travel / moving / setup cost; obtain a quote.</t>
  </si>
  <si>
    <t>Monthly stipend amount (₦)</t>
  </si>
  <si>
    <t>Placement duration (months)</t>
  </si>
  <si>
    <t>Accommodation confirmed for all six months?</t>
  </si>
  <si>
    <t>Monthly stipend confirmed?</t>
  </si>
  <si>
    <t>Total funding available for relocation (₦)</t>
  </si>
  <si>
    <t>Pending confirmation</t>
  </si>
  <si>
    <t>Decision notes</t>
  </si>
  <si>
    <t>Confirm written offer, start/end dates, exact office location, accommodation conditions and payment schedule before relocating.</t>
  </si>
  <si>
    <t>Summary</t>
  </si>
  <si>
    <t>Total monthly expenses</t>
  </si>
  <si>
    <t>Total one-time setup costs</t>
  </si>
  <si>
    <t>Total six-month expenses</t>
  </si>
  <si>
    <t>Total stipend over placement</t>
  </si>
  <si>
    <t>Total resources available</t>
  </si>
  <si>
    <t>Funding shortfall</t>
  </si>
  <si>
    <t>Funds remaining after six months</t>
  </si>
  <si>
    <t>Monthly amount remaining after expenses</t>
  </si>
  <si>
    <t>Can I realistically afford this placement?</t>
  </si>
  <si>
    <t>Important relocation rule</t>
  </si>
  <si>
    <t>Do not relocate based on an estimated stipend or verbal promise. Treat the placement as not affordable until accommodation coverage (or a realistic paid accommodation budget), stipend status, total available funding and six-month terms are confirmed in writing. A zero accommodation cost is acceptable only when free accommodation for the full placement is confirmed.</t>
  </si>
  <si>
    <t>Application Document Checklist</t>
  </si>
  <si>
    <t>Prepare core documents early. Some items are only required when requested by OAU or the specific organisation.</t>
  </si>
  <si>
    <t>Document</t>
  </si>
  <si>
    <t>Required / conditional</t>
  </si>
  <si>
    <t>Completion status</t>
  </si>
  <si>
    <t>Date completed</t>
  </si>
  <si>
    <t>File location / link</t>
  </si>
  <si>
    <t>Updated CV</t>
  </si>
  <si>
    <t>Core</t>
  </si>
  <si>
    <t>Tailor summary and skills to analytics / BI / business roles.</t>
  </si>
  <si>
    <t>SIWES application letter</t>
  </si>
  <si>
    <t>State six-month availability and proposed April 2027 start.</t>
  </si>
  <si>
    <t>OAU introduction letter</t>
  </si>
  <si>
    <t>Request from the appropriate university office.</t>
  </si>
  <si>
    <t>HOD recommendation / endorsement</t>
  </si>
  <si>
    <t>As requested / placement requirement</t>
  </si>
  <si>
    <t>Seplat's published scheme requires SIWES letter issued by HOD addressed to Seplat HR.</t>
  </si>
  <si>
    <t>Student ID</t>
  </si>
  <si>
    <t>Keep a clear scanned copy.</t>
  </si>
  <si>
    <t>SIWES documentation</t>
  </si>
  <si>
    <t>Logbook and institution-specific forms; confirm current OAU requirements.</t>
  </si>
  <si>
    <t>Academic transcript or CGPA evidence</t>
  </si>
  <si>
    <t>Where requested</t>
  </si>
  <si>
    <t>Do not send unless requested or application instructions require it.</t>
  </si>
  <si>
    <t>Portfolio / GitHub links</t>
  </si>
  <si>
    <t>Recommended</t>
  </si>
  <si>
    <t>Include Power BI, Excel, SQL, Python, analytics or business projects.</t>
  </si>
  <si>
    <t>Passport photograph</t>
  </si>
  <si>
    <t>Use only if requested by employer.</t>
  </si>
  <si>
    <t>Other company-specific documents</t>
  </si>
  <si>
    <t>Record exact instructions and submission format.</t>
  </si>
  <si>
    <t>Mercy's SIWES / IT Placement Dashboard – 2027</t>
  </si>
  <si>
    <t>Live summary: counts are based on actual dates / confirmed dropdown fields in Application Tracker. Update the tracker to refresh these figures.</t>
  </si>
  <si>
    <t>Total organisations shortlisted</t>
  </si>
  <si>
    <t>Companies contacted (date recorded)</t>
  </si>
  <si>
    <t>Applications submitted (date recorded)</t>
  </si>
  <si>
    <t>Responses received</t>
  </si>
  <si>
    <t>Interviews scheduled (date recorded)</t>
  </si>
  <si>
    <t>Offers received</t>
  </si>
  <si>
    <t>Accommodation confirmed</t>
  </si>
  <si>
    <t>Six-month placements confirmed</t>
  </si>
  <si>
    <t>Count</t>
  </si>
  <si>
    <t>Confirmed support / eligibility</t>
  </si>
  <si>
    <t>Researching</t>
  </si>
  <si>
    <t>Six-month duration</t>
  </si>
  <si>
    <t>Contacted</t>
  </si>
  <si>
    <t>Official SIWES vacancy</t>
  </si>
  <si>
    <t>Applied</t>
  </si>
  <si>
    <t>Follow-up Due</t>
  </si>
  <si>
    <t>Interviewing</t>
  </si>
  <si>
    <t>Offer Received</t>
  </si>
  <si>
    <t>Rejected</t>
  </si>
  <si>
    <t>On Hold</t>
  </si>
  <si>
    <t>SIWES / IT Placement Tracker –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</si>
</sst>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₦#,##0"/>
  </numFmts>
  <fonts count="9" x14ac:knownFonts="1">
    <font>
      <sz val="11"/>
      <color theme="1"/>
      <name val="Calibri"/>
      <family val="2"/>
      <scheme val="minor"/>
    </font>
    <font>
      <b/>
      <sz val="16"/>
      <color rgb="FFFFFFFF"/>
      <name val="Aptos Display"/>
      <family val="2"/>
    </font>
    <font>
      <i/>
      <sz val="10"/>
      <color rgb="FF555555"/>
      <name val="Aptos"/>
      <family val="2"/>
    </font>
    <font>
      <b/>
      <sz val="11"/>
      <color rgb="FFFFFFFF"/>
      <name val="Calibri"/>
      <family val="2"/>
    </font>
    <font>
      <sz val="12"/>
      <color theme="10"/>
      <name val="Calibri"/>
      <family val="2"/>
      <scheme val="minor"/>
    </font>
    <font>
      <b/>
      <sz val="11"/>
      <color rgb="FF17365D"/>
      <name val="Calibri"/>
      <family val="2"/>
    </font>
    <font>
      <sz val="10"/>
      <name val="Aptos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4" fillId="0" borderId="0"/>
  </cellStyleXfs>
  <cellXfs count="3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1" xfId="0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165" fontId="0" fillId="0" borderId="0" xfId="0" applyNumberFormat="1"/>
    <xf numFmtId="0" fontId="6" fillId="0" borderId="0" xfId="0" applyFont="1"/>
    <xf numFmtId="165" fontId="0" fillId="4" borderId="0" xfId="0" applyNumberFormat="1" applyFill="1"/>
    <xf numFmtId="0" fontId="0" fillId="4" borderId="0" xfId="0" applyFill="1"/>
    <xf numFmtId="0" fontId="3" fillId="3" borderId="0" xfId="0" applyFont="1" applyFill="1" applyAlignment="1">
      <alignment vertical="center" wrapText="1"/>
    </xf>
    <xf numFmtId="0" fontId="4" fillId="0" borderId="1" xfId="1" applyBorder="1" applyAlignment="1">
      <alignment vertical="top" wrapText="1"/>
    </xf>
    <xf numFmtId="0" fontId="0" fillId="0" borderId="1" xfId="0" applyBorder="1" applyAlignment="1" applyProtection="1">
      <alignment vertical="top" wrapText="1"/>
      <protection locked="0"/>
    </xf>
    <xf numFmtId="164" fontId="0" fillId="0" borderId="1" xfId="0" applyNumberFormat="1" applyBorder="1" applyAlignment="1" applyProtection="1">
      <alignment vertical="top" wrapText="1"/>
      <protection locked="0"/>
    </xf>
    <xf numFmtId="165" fontId="0" fillId="0" borderId="1" xfId="0" applyNumberFormat="1" applyBorder="1" applyAlignment="1" applyProtection="1">
      <alignment vertical="top" wrapText="1"/>
      <protection locked="0"/>
    </xf>
    <xf numFmtId="165" fontId="0" fillId="0" borderId="0" xfId="0" applyNumberFormat="1" applyProtection="1">
      <protection locked="0"/>
    </xf>
    <xf numFmtId="0" fontId="0" fillId="0" borderId="0" xfId="0" applyProtection="1">
      <protection locked="0"/>
    </xf>
    <xf numFmtId="0" fontId="5" fillId="2" borderId="0" xfId="0" applyFont="1" applyFill="1" applyAlignment="1">
      <alignment vertical="top" wrapText="1"/>
    </xf>
    <xf numFmtId="0" fontId="0" fillId="6" borderId="0" xfId="0" applyFill="1" applyAlignment="1" applyProtection="1">
      <alignment vertical="top" wrapText="1"/>
      <protection locked="0"/>
    </xf>
    <xf numFmtId="0" fontId="5" fillId="0" borderId="0" xfId="0" applyFont="1" applyAlignment="1">
      <alignment vertical="top" wrapText="1"/>
    </xf>
    <xf numFmtId="165" fontId="0" fillId="6" borderId="0" xfId="0" applyNumberFormat="1" applyFill="1" applyAlignment="1" applyProtection="1">
      <alignment vertical="top" wrapText="1"/>
      <protection locked="0"/>
    </xf>
    <xf numFmtId="0" fontId="5" fillId="6" borderId="0" xfId="0" applyFont="1" applyFill="1" applyAlignment="1" applyProtection="1">
      <alignment wrapText="1"/>
      <protection locked="0"/>
    </xf>
    <xf numFmtId="0" fontId="3" fillId="2" borderId="0" xfId="0" applyFont="1" applyFill="1"/>
    <xf numFmtId="0" fontId="5" fillId="0" borderId="0" xfId="0" applyFont="1"/>
    <xf numFmtId="165" fontId="0" fillId="4" borderId="0" xfId="0" applyNumberFormat="1" applyFill="1" applyAlignment="1">
      <alignment vertical="top" wrapText="1"/>
    </xf>
    <xf numFmtId="0" fontId="0" fillId="4" borderId="0" xfId="0" applyFill="1" applyAlignment="1">
      <alignment vertical="top" wrapText="1"/>
    </xf>
    <xf numFmtId="0" fontId="4" fillId="0" borderId="0" xfId="1" applyAlignment="1">
      <alignment vertical="top" wrapText="1"/>
    </xf>
    <xf numFmtId="0" fontId="8" fillId="3" borderId="0" xfId="0" applyFont="1" applyFill="1" applyAlignment="1">
      <alignment wrapText="1"/>
    </xf>
    <xf numFmtId="0" fontId="8" fillId="2" borderId="0" xfId="0" applyFont="1" applyFill="1"/>
    <xf numFmtId="0" fontId="8" fillId="3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top" wrapText="1"/>
    </xf>
    <xf numFmtId="0" fontId="0" fillId="6" borderId="0" xfId="0" applyFill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8" fillId="3" borderId="0" xfId="0" applyFont="1" applyFill="1"/>
    <xf numFmtId="0" fontId="7" fillId="0" borderId="0" xfId="0" applyFont="1"/>
    <xf numFmtId="0" fontId="6" fillId="5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12">
    <dxf>
      <fill>
        <patternFill patternType="solid">
          <fgColor rgb="FFE2F0D9"/>
        </patternFill>
      </fill>
    </dxf>
    <dxf>
      <fill>
        <patternFill patternType="solid">
          <fgColor rgb="FFFFF8E1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4CCCC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E2F0D9"/>
        </patternFill>
      </fill>
    </dxf>
    <dxf>
      <fill>
        <patternFill patternType="solid">
          <fgColor rgb="FFFFF8E1"/>
        </patternFill>
      </fill>
    </dxf>
    <dxf>
      <fill>
        <patternFill patternType="solid">
          <fgColor rgb="FFFFF8E1"/>
        </patternFill>
      </fill>
    </dxf>
    <dxf>
      <fill>
        <patternFill patternType="solid">
          <fgColor rgb="FFFFF8E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Application status</a:t>
            </a:r>
          </a:p>
        </c:rich>
      </c:tx>
      <c:overlay val="1"/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Dashboard!$B$17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dLbl>
              <c:idx val="0"/>
              <c:layout>
                <c:manualLayout>
                  <c:x val="-0.13625274204173124"/>
                  <c:y val="6.6145833333333251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1DC-4316-A5AD-2C069CC6FF76}"/>
                </c:ext>
              </c:extLst>
            </c:dLbl>
            <c:dLbl>
              <c:idx val="1"/>
              <c:layout>
                <c:manualLayout>
                  <c:x val="0.1635032904500775"/>
                  <c:y val="0.14111111111111108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1DC-4316-A5AD-2C069CC6FF76}"/>
                </c:ext>
              </c:extLst>
            </c:dLbl>
            <c:dLbl>
              <c:idx val="2"/>
              <c:layout>
                <c:manualLayout>
                  <c:x val="-5.1473258104654029E-2"/>
                  <c:y val="-0.10583333333333335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1DC-4316-A5AD-2C069CC6FF76}"/>
                </c:ext>
              </c:extLst>
            </c:dLbl>
            <c:dLbl>
              <c:idx val="3"/>
              <c:layout>
                <c:manualLayout>
                  <c:x val="7.2668129088923214E-2"/>
                  <c:y val="0.4938888888888888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1DC-4316-A5AD-2C069CC6FF76}"/>
                </c:ext>
              </c:extLst>
            </c:dLbl>
            <c:dLbl>
              <c:idx val="4"/>
              <c:layout>
                <c:manualLayout>
                  <c:x val="-0.23617141953900084"/>
                  <c:y val="0.30868055555555557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1DC-4316-A5AD-2C069CC6FF76}"/>
                </c:ext>
              </c:extLst>
            </c:dLbl>
            <c:dLbl>
              <c:idx val="5"/>
              <c:layout>
                <c:manualLayout>
                  <c:x val="-0.19378167757046222"/>
                  <c:y val="-7.4965277777777797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1DC-4316-A5AD-2C069CC6FF76}"/>
                </c:ext>
              </c:extLst>
            </c:dLbl>
            <c:dLbl>
              <c:idx val="6"/>
              <c:layout>
                <c:manualLayout>
                  <c:x val="0.12414138719357735"/>
                  <c:y val="-6.6145833333333348E-2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1DC-4316-A5AD-2C069CC6FF76}"/>
                </c:ext>
              </c:extLst>
            </c:dLbl>
            <c:dLbl>
              <c:idx val="7"/>
              <c:layout>
                <c:manualLayout>
                  <c:x val="0.1756146452982314"/>
                  <c:y val="0.32631944444444444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1DC-4316-A5AD-2C069CC6FF76}"/>
                </c:ext>
              </c:extLst>
            </c:dLbl>
            <c:dLbl>
              <c:idx val="8"/>
              <c:layout>
                <c:manualLayout>
                  <c:x val="-0.27250548408346248"/>
                  <c:y val="0.10583333333333333"/>
                </c:manualLayout>
              </c:layout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1DC-4316-A5AD-2C069CC6FF76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Dashboard!$A$18:$A$26</c:f>
              <c:strCache>
                <c:ptCount val="9"/>
                <c:pt idx="0">
                  <c:v>Not Started</c:v>
                </c:pt>
                <c:pt idx="1">
                  <c:v>Researching</c:v>
                </c:pt>
                <c:pt idx="2">
                  <c:v>Contacted</c:v>
                </c:pt>
                <c:pt idx="3">
                  <c:v>Applied</c:v>
                </c:pt>
                <c:pt idx="4">
                  <c:v>Follow-up Due</c:v>
                </c:pt>
                <c:pt idx="5">
                  <c:v>Interviewing</c:v>
                </c:pt>
                <c:pt idx="6">
                  <c:v>Offer Received</c:v>
                </c:pt>
                <c:pt idx="7">
                  <c:v>Rejected</c:v>
                </c:pt>
                <c:pt idx="8">
                  <c:v>On Hold</c:v>
                </c:pt>
              </c:strCache>
            </c:strRef>
          </c:cat>
          <c:val>
            <c:numRef>
              <c:f>Dashboard!$B$18:$B$26</c:f>
              <c:numCache>
                <c:formatCode>General</c:formatCode>
                <c:ptCount val="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DC-4316-A5AD-2C069CC6FF76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  <c:holeSize val="10"/>
      </c:doughnut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Confirmed placement support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9850427350427349E-2"/>
          <c:y val="0.1411111111111111"/>
          <c:w val="0.63106260683760684"/>
          <c:h val="0.85888888888888892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Dashboard!$E$17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Dashboard!$D$18:$D$20</c:f>
              <c:strCache>
                <c:ptCount val="3"/>
                <c:pt idx="0">
                  <c:v>Accommodation</c:v>
                </c:pt>
                <c:pt idx="1">
                  <c:v>Six-month duration</c:v>
                </c:pt>
                <c:pt idx="2">
                  <c:v>Official SIWES vacancy</c:v>
                </c:pt>
              </c:strCache>
            </c:strRef>
          </c:cat>
          <c:val>
            <c:numRef>
              <c:f>Dashboard!$E$18:$E$20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C7-4BC8-8FE3-946892A6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Organisations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74706</xdr:colOff>
      <xdr:row>29</xdr:row>
      <xdr:rowOff>127000</xdr:rowOff>
    </xdr:from>
    <xdr:ext cx="4194411" cy="3175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1337235</xdr:colOff>
      <xdr:row>29</xdr:row>
      <xdr:rowOff>97117</xdr:rowOff>
    </xdr:from>
    <xdr:ext cx="4680000" cy="3227294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ca-colacompany.com/careers/early-careers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careers.kantar.com/" TargetMode="External"/><Relationship Id="rId7" Type="http://schemas.openxmlformats.org/officeDocument/2006/relationships/hyperlink" Target="https://www.coca-colahellenic.com/" TargetMode="External"/><Relationship Id="rId12" Type="http://schemas.openxmlformats.org/officeDocument/2006/relationships/hyperlink" Target="https://www.shell.com.ng/careers/students-and-graduates/student-industrial-training-and-internship-program.html" TargetMode="External"/><Relationship Id="rId2" Type="http://schemas.openxmlformats.org/officeDocument/2006/relationships/hyperlink" Target="https://nielseniq.com/global/en/jobs/" TargetMode="External"/><Relationship Id="rId1" Type="http://schemas.openxmlformats.org/officeDocument/2006/relationships/hyperlink" Target="https://www.seplatenergy.com/careers/career-opportunities/" TargetMode="External"/><Relationship Id="rId6" Type="http://schemas.openxmlformats.org/officeDocument/2006/relationships/hyperlink" Target="https://www.nestle.com/jobs/students-graduates" TargetMode="External"/><Relationship Id="rId11" Type="http://schemas.openxmlformats.org/officeDocument/2006/relationships/hyperlink" Target="https://careers.chevron.com/nigeria" TargetMode="External"/><Relationship Id="rId5" Type="http://schemas.openxmlformats.org/officeDocument/2006/relationships/hyperlink" Target="https://www.mtn.ng/career/" TargetMode="External"/><Relationship Id="rId10" Type="http://schemas.openxmlformats.org/officeDocument/2006/relationships/hyperlink" Target="https://cwg-plc.ng/careers" TargetMode="External"/><Relationship Id="rId4" Type="http://schemas.openxmlformats.org/officeDocument/2006/relationships/hyperlink" Target="https://interswitchgroup.com/company/careers" TargetMode="External"/><Relationship Id="rId9" Type="http://schemas.openxmlformats.org/officeDocument/2006/relationships/hyperlink" Target="https://www.deloitte.com/ng/en/careers/explore-your-fit/students.html" TargetMode="External"/><Relationship Id="rId1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65D"/>
    <pageSetUpPr fitToPage="1"/>
  </sheetPr>
  <dimension ref="A1:V16"/>
  <sheetViews>
    <sheetView showGridLines="0" zoomScale="85" workbookViewId="0">
      <pane ySplit="4" topLeftCell="A5" activePane="bottomLeft" state="frozen"/>
      <selection pane="bottomLeft" activeCell="C4" sqref="C4"/>
    </sheetView>
  </sheetViews>
  <sheetFormatPr defaultRowHeight="14.5" x14ac:dyDescent="0.35"/>
  <cols>
    <col min="1" max="1" width="9" customWidth="1"/>
    <col min="2" max="2" width="25" customWidth="1"/>
    <col min="3" max="3" width="23" customWidth="1"/>
    <col min="4" max="4" width="24" customWidth="1"/>
    <col min="5" max="5" width="42" customWidth="1"/>
    <col min="6" max="6" width="34" customWidth="1"/>
    <col min="7" max="7" width="30" customWidth="1"/>
    <col min="8" max="8" width="28" customWidth="1"/>
    <col min="9" max="10" width="22" customWidth="1"/>
    <col min="11" max="11" width="24" customWidth="1"/>
    <col min="12" max="12" width="22" customWidth="1"/>
    <col min="13" max="14" width="20" customWidth="1"/>
    <col min="15" max="15" width="45" customWidth="1"/>
    <col min="16" max="16" width="34" customWidth="1"/>
    <col min="17" max="18" width="20" customWidth="1"/>
    <col min="19" max="19" width="65" customWidth="1"/>
    <col min="20" max="20" width="22" customWidth="1"/>
    <col min="21" max="21" width="29" customWidth="1"/>
    <col min="22" max="22" width="31" customWidth="1"/>
  </cols>
  <sheetData>
    <row r="1" spans="1:22" ht="32" customHeight="1" x14ac:dyDescent="0.35">
      <c r="A1" s="31" t="s">
        <v>247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</row>
    <row r="2" spans="1:22" ht="32" customHeight="1" x14ac:dyDescent="0.35">
      <c r="A2" s="29" t="s">
        <v>0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</row>
    <row r="4" spans="1:22" ht="58" customHeight="1" x14ac:dyDescent="0.35">
      <c r="A4" s="28" t="s">
        <v>1</v>
      </c>
      <c r="B4" s="28" t="s">
        <v>2</v>
      </c>
      <c r="C4" s="28" t="s">
        <v>3</v>
      </c>
      <c r="D4" s="28" t="s">
        <v>4</v>
      </c>
      <c r="E4" s="28" t="s">
        <v>5</v>
      </c>
      <c r="F4" s="28" t="s">
        <v>6</v>
      </c>
      <c r="G4" s="28" t="s">
        <v>7</v>
      </c>
      <c r="H4" s="28" t="s">
        <v>8</v>
      </c>
      <c r="I4" s="28" t="s">
        <v>9</v>
      </c>
      <c r="J4" s="28" t="s">
        <v>10</v>
      </c>
      <c r="K4" s="28" t="s">
        <v>11</v>
      </c>
      <c r="L4" s="28" t="s">
        <v>12</v>
      </c>
      <c r="M4" s="28" t="s">
        <v>13</v>
      </c>
      <c r="N4" s="28" t="s">
        <v>14</v>
      </c>
      <c r="O4" s="28" t="s">
        <v>15</v>
      </c>
      <c r="P4" s="28" t="s">
        <v>16</v>
      </c>
      <c r="Q4" s="28" t="s">
        <v>17</v>
      </c>
      <c r="R4" s="28" t="s">
        <v>18</v>
      </c>
      <c r="S4" s="28" t="s">
        <v>19</v>
      </c>
      <c r="T4" s="9" t="s">
        <v>20</v>
      </c>
      <c r="U4" s="9" t="s">
        <v>21</v>
      </c>
      <c r="V4" s="9" t="s">
        <v>22</v>
      </c>
    </row>
    <row r="5" spans="1:22" ht="76" customHeight="1" x14ac:dyDescent="0.35">
      <c r="A5" s="3">
        <v>1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28</v>
      </c>
      <c r="H5" s="3" t="s">
        <v>29</v>
      </c>
      <c r="I5" s="3" t="s">
        <v>29</v>
      </c>
      <c r="J5" s="3" t="s">
        <v>29</v>
      </c>
      <c r="K5" s="3" t="s">
        <v>29</v>
      </c>
      <c r="L5" s="3" t="s">
        <v>29</v>
      </c>
      <c r="M5" s="3" t="s">
        <v>30</v>
      </c>
      <c r="N5" s="3" t="s">
        <v>30</v>
      </c>
      <c r="O5" s="10" t="s">
        <v>31</v>
      </c>
      <c r="P5" s="3" t="s">
        <v>32</v>
      </c>
      <c r="Q5" s="3" t="s">
        <v>33</v>
      </c>
      <c r="R5" s="3">
        <v>9</v>
      </c>
      <c r="S5" s="3" t="s">
        <v>34</v>
      </c>
      <c r="T5" s="3" t="s">
        <v>29</v>
      </c>
      <c r="U5" s="3" t="s">
        <v>29</v>
      </c>
      <c r="V5" s="3" t="s">
        <v>35</v>
      </c>
    </row>
    <row r="6" spans="1:22" ht="76" customHeight="1" x14ac:dyDescent="0.35">
      <c r="A6" s="3">
        <v>2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29</v>
      </c>
      <c r="H6" s="3" t="s">
        <v>29</v>
      </c>
      <c r="I6" s="3" t="s">
        <v>29</v>
      </c>
      <c r="J6" s="3" t="s">
        <v>29</v>
      </c>
      <c r="K6" s="3" t="s">
        <v>29</v>
      </c>
      <c r="L6" s="3" t="s">
        <v>29</v>
      </c>
      <c r="M6" s="3" t="s">
        <v>30</v>
      </c>
      <c r="N6" s="3" t="s">
        <v>30</v>
      </c>
      <c r="O6" s="10" t="s">
        <v>41</v>
      </c>
      <c r="P6" s="3" t="s">
        <v>42</v>
      </c>
      <c r="Q6" s="3" t="s">
        <v>33</v>
      </c>
      <c r="R6" s="3">
        <v>9</v>
      </c>
      <c r="S6" s="3" t="s">
        <v>43</v>
      </c>
      <c r="T6" s="3" t="s">
        <v>29</v>
      </c>
      <c r="U6" s="3" t="s">
        <v>29</v>
      </c>
      <c r="V6" s="3" t="s">
        <v>29</v>
      </c>
    </row>
    <row r="7" spans="1:22" ht="76" customHeight="1" x14ac:dyDescent="0.35">
      <c r="A7" s="3">
        <v>3</v>
      </c>
      <c r="B7" s="3" t="s">
        <v>44</v>
      </c>
      <c r="C7" s="3" t="s">
        <v>45</v>
      </c>
      <c r="D7" s="3" t="s">
        <v>46</v>
      </c>
      <c r="E7" s="3" t="s">
        <v>47</v>
      </c>
      <c r="F7" s="3" t="s">
        <v>48</v>
      </c>
      <c r="G7" s="3" t="s">
        <v>29</v>
      </c>
      <c r="H7" s="3" t="s">
        <v>29</v>
      </c>
      <c r="I7" s="3" t="s">
        <v>29</v>
      </c>
      <c r="J7" s="3" t="s">
        <v>29</v>
      </c>
      <c r="K7" s="3" t="s">
        <v>29</v>
      </c>
      <c r="L7" s="3" t="s">
        <v>29</v>
      </c>
      <c r="M7" s="3" t="s">
        <v>30</v>
      </c>
      <c r="N7" s="3" t="s">
        <v>30</v>
      </c>
      <c r="O7" s="10" t="s">
        <v>49</v>
      </c>
      <c r="P7" s="3" t="s">
        <v>50</v>
      </c>
      <c r="Q7" s="3" t="s">
        <v>33</v>
      </c>
      <c r="R7" s="3">
        <v>8</v>
      </c>
      <c r="S7" s="3" t="s">
        <v>51</v>
      </c>
      <c r="T7" s="3" t="s">
        <v>29</v>
      </c>
      <c r="U7" s="3" t="s">
        <v>29</v>
      </c>
      <c r="V7" s="3" t="s">
        <v>29</v>
      </c>
    </row>
    <row r="8" spans="1:22" ht="76" customHeight="1" x14ac:dyDescent="0.35">
      <c r="A8" s="3">
        <v>4</v>
      </c>
      <c r="B8" s="3" t="s">
        <v>52</v>
      </c>
      <c r="C8" s="3" t="s">
        <v>53</v>
      </c>
      <c r="D8" s="3" t="s">
        <v>54</v>
      </c>
      <c r="E8" s="3" t="s">
        <v>55</v>
      </c>
      <c r="F8" s="3" t="s">
        <v>29</v>
      </c>
      <c r="G8" s="3" t="s">
        <v>29</v>
      </c>
      <c r="H8" s="3" t="s">
        <v>29</v>
      </c>
      <c r="I8" s="3" t="s">
        <v>29</v>
      </c>
      <c r="J8" s="3" t="s">
        <v>29</v>
      </c>
      <c r="K8" s="3" t="s">
        <v>29</v>
      </c>
      <c r="L8" s="3" t="s">
        <v>29</v>
      </c>
      <c r="M8" s="3" t="s">
        <v>30</v>
      </c>
      <c r="N8" s="3" t="s">
        <v>30</v>
      </c>
      <c r="O8" s="10" t="s">
        <v>56</v>
      </c>
      <c r="P8" s="3" t="s">
        <v>57</v>
      </c>
      <c r="Q8" s="3" t="s">
        <v>33</v>
      </c>
      <c r="R8" s="3">
        <v>8</v>
      </c>
      <c r="S8" s="3" t="s">
        <v>58</v>
      </c>
      <c r="T8" s="3" t="s">
        <v>29</v>
      </c>
      <c r="U8" s="3" t="s">
        <v>29</v>
      </c>
      <c r="V8" s="3" t="s">
        <v>29</v>
      </c>
    </row>
    <row r="9" spans="1:22" ht="76" customHeight="1" x14ac:dyDescent="0.35">
      <c r="A9" s="3">
        <v>5</v>
      </c>
      <c r="B9" s="3" t="s">
        <v>59</v>
      </c>
      <c r="C9" s="3" t="s">
        <v>60</v>
      </c>
      <c r="D9" s="3" t="s">
        <v>61</v>
      </c>
      <c r="E9" s="3" t="s">
        <v>62</v>
      </c>
      <c r="F9" s="3" t="s">
        <v>63</v>
      </c>
      <c r="G9" s="3" t="s">
        <v>29</v>
      </c>
      <c r="H9" s="3" t="s">
        <v>29</v>
      </c>
      <c r="I9" s="3" t="s">
        <v>29</v>
      </c>
      <c r="J9" s="3" t="s">
        <v>29</v>
      </c>
      <c r="K9" s="3" t="s">
        <v>29</v>
      </c>
      <c r="L9" s="3" t="s">
        <v>29</v>
      </c>
      <c r="M9" s="3" t="s">
        <v>30</v>
      </c>
      <c r="N9" s="3" t="s">
        <v>30</v>
      </c>
      <c r="O9" s="10" t="s">
        <v>64</v>
      </c>
      <c r="P9" s="3" t="s">
        <v>65</v>
      </c>
      <c r="Q9" s="3" t="s">
        <v>33</v>
      </c>
      <c r="R9" s="3">
        <v>8</v>
      </c>
      <c r="S9" s="3" t="s">
        <v>66</v>
      </c>
      <c r="T9" s="3" t="s">
        <v>29</v>
      </c>
      <c r="U9" s="3" t="s">
        <v>29</v>
      </c>
      <c r="V9" s="3" t="s">
        <v>29</v>
      </c>
    </row>
    <row r="10" spans="1:22" ht="76" customHeight="1" x14ac:dyDescent="0.35">
      <c r="A10" s="3">
        <v>6</v>
      </c>
      <c r="B10" s="3" t="s">
        <v>67</v>
      </c>
      <c r="C10" s="3" t="s">
        <v>68</v>
      </c>
      <c r="D10" s="3" t="s">
        <v>69</v>
      </c>
      <c r="E10" s="3" t="s">
        <v>70</v>
      </c>
      <c r="F10" s="3" t="s">
        <v>71</v>
      </c>
      <c r="G10" s="3" t="s">
        <v>29</v>
      </c>
      <c r="H10" s="3" t="s">
        <v>29</v>
      </c>
      <c r="I10" s="3" t="s">
        <v>72</v>
      </c>
      <c r="J10" s="3" t="s">
        <v>29</v>
      </c>
      <c r="K10" s="3" t="s">
        <v>29</v>
      </c>
      <c r="L10" s="3" t="s">
        <v>30</v>
      </c>
      <c r="M10" s="3" t="s">
        <v>30</v>
      </c>
      <c r="N10" s="3" t="s">
        <v>30</v>
      </c>
      <c r="O10" s="25" t="s">
        <v>73</v>
      </c>
      <c r="P10" s="3" t="s">
        <v>74</v>
      </c>
      <c r="Q10" s="3" t="s">
        <v>33</v>
      </c>
      <c r="R10" s="3">
        <v>8</v>
      </c>
      <c r="S10" s="3" t="s">
        <v>75</v>
      </c>
      <c r="T10" s="3" t="s">
        <v>29</v>
      </c>
      <c r="U10" s="3" t="s">
        <v>29</v>
      </c>
      <c r="V10" s="3" t="s">
        <v>29</v>
      </c>
    </row>
    <row r="11" spans="1:22" ht="76" customHeight="1" x14ac:dyDescent="0.35">
      <c r="A11" s="3">
        <v>7</v>
      </c>
      <c r="B11" s="3" t="s">
        <v>76</v>
      </c>
      <c r="C11" s="3" t="s">
        <v>77</v>
      </c>
      <c r="D11" s="3" t="s">
        <v>78</v>
      </c>
      <c r="E11" s="3" t="s">
        <v>79</v>
      </c>
      <c r="F11" s="3" t="s">
        <v>29</v>
      </c>
      <c r="G11" s="3" t="s">
        <v>29</v>
      </c>
      <c r="H11" s="3" t="s">
        <v>29</v>
      </c>
      <c r="I11" s="3" t="s">
        <v>29</v>
      </c>
      <c r="J11" s="3" t="s">
        <v>29</v>
      </c>
      <c r="K11" s="3" t="s">
        <v>29</v>
      </c>
      <c r="L11" s="3" t="s">
        <v>29</v>
      </c>
      <c r="M11" s="3" t="s">
        <v>30</v>
      </c>
      <c r="N11" s="3" t="s">
        <v>30</v>
      </c>
      <c r="O11" s="10" t="s">
        <v>80</v>
      </c>
      <c r="P11" s="3" t="s">
        <v>81</v>
      </c>
      <c r="Q11" s="3" t="s">
        <v>33</v>
      </c>
      <c r="R11" s="3">
        <v>7</v>
      </c>
      <c r="S11" s="3" t="s">
        <v>82</v>
      </c>
      <c r="T11" s="3" t="s">
        <v>29</v>
      </c>
      <c r="U11" s="3" t="s">
        <v>29</v>
      </c>
      <c r="V11" s="3" t="s">
        <v>29</v>
      </c>
    </row>
    <row r="12" spans="1:22" ht="76" customHeight="1" x14ac:dyDescent="0.35">
      <c r="A12" s="3">
        <v>8</v>
      </c>
      <c r="B12" s="3" t="s">
        <v>83</v>
      </c>
      <c r="C12" s="3" t="s">
        <v>84</v>
      </c>
      <c r="D12" s="3" t="s">
        <v>85</v>
      </c>
      <c r="E12" s="3" t="s">
        <v>86</v>
      </c>
      <c r="F12" s="3" t="s">
        <v>29</v>
      </c>
      <c r="G12" s="3" t="s">
        <v>29</v>
      </c>
      <c r="H12" s="3" t="s">
        <v>29</v>
      </c>
      <c r="I12" s="3" t="s">
        <v>29</v>
      </c>
      <c r="J12" s="3" t="s">
        <v>29</v>
      </c>
      <c r="K12" s="3" t="s">
        <v>29</v>
      </c>
      <c r="L12" s="3" t="s">
        <v>29</v>
      </c>
      <c r="M12" s="3" t="s">
        <v>30</v>
      </c>
      <c r="N12" s="3" t="s">
        <v>30</v>
      </c>
      <c r="O12" s="10" t="s">
        <v>87</v>
      </c>
      <c r="P12" s="3" t="s">
        <v>65</v>
      </c>
      <c r="Q12" s="3" t="s">
        <v>33</v>
      </c>
      <c r="R12" s="3">
        <v>7</v>
      </c>
      <c r="S12" s="3" t="s">
        <v>88</v>
      </c>
      <c r="T12" s="3" t="s">
        <v>29</v>
      </c>
      <c r="U12" s="3" t="s">
        <v>29</v>
      </c>
      <c r="V12" s="3" t="s">
        <v>29</v>
      </c>
    </row>
    <row r="13" spans="1:22" ht="76" customHeight="1" x14ac:dyDescent="0.35">
      <c r="A13" s="3">
        <v>10</v>
      </c>
      <c r="B13" s="3" t="s">
        <v>89</v>
      </c>
      <c r="C13" s="3" t="s">
        <v>90</v>
      </c>
      <c r="D13" s="3" t="s">
        <v>54</v>
      </c>
      <c r="E13" s="3" t="s">
        <v>91</v>
      </c>
      <c r="F13" s="3" t="s">
        <v>92</v>
      </c>
      <c r="G13" s="3" t="s">
        <v>29</v>
      </c>
      <c r="H13" s="3" t="s">
        <v>93</v>
      </c>
      <c r="I13" s="3" t="s">
        <v>29</v>
      </c>
      <c r="J13" s="3" t="s">
        <v>29</v>
      </c>
      <c r="K13" s="3" t="s">
        <v>29</v>
      </c>
      <c r="L13" s="3" t="s">
        <v>30</v>
      </c>
      <c r="M13" s="3" t="s">
        <v>30</v>
      </c>
      <c r="N13" s="3" t="s">
        <v>30</v>
      </c>
      <c r="O13" s="25" t="s">
        <v>94</v>
      </c>
      <c r="P13" s="3" t="s">
        <v>95</v>
      </c>
      <c r="Q13" s="3" t="s">
        <v>33</v>
      </c>
      <c r="R13" s="3">
        <v>7</v>
      </c>
      <c r="S13" s="3" t="s">
        <v>96</v>
      </c>
      <c r="T13" s="3" t="s">
        <v>29</v>
      </c>
      <c r="U13" s="3" t="s">
        <v>29</v>
      </c>
      <c r="V13" s="3" t="s">
        <v>29</v>
      </c>
    </row>
    <row r="14" spans="1:22" ht="76" customHeight="1" x14ac:dyDescent="0.35">
      <c r="A14" s="3">
        <v>9</v>
      </c>
      <c r="B14" s="3" t="s">
        <v>97</v>
      </c>
      <c r="C14" s="3" t="s">
        <v>98</v>
      </c>
      <c r="D14" s="3" t="s">
        <v>54</v>
      </c>
      <c r="E14" s="3" t="s">
        <v>99</v>
      </c>
      <c r="F14" s="3" t="s">
        <v>29</v>
      </c>
      <c r="G14" s="3" t="s">
        <v>29</v>
      </c>
      <c r="H14" s="3" t="s">
        <v>29</v>
      </c>
      <c r="I14" s="3" t="s">
        <v>29</v>
      </c>
      <c r="J14" s="3" t="s">
        <v>29</v>
      </c>
      <c r="K14" s="3" t="s">
        <v>29</v>
      </c>
      <c r="L14" s="3" t="s">
        <v>29</v>
      </c>
      <c r="M14" s="3" t="s">
        <v>30</v>
      </c>
      <c r="N14" s="3" t="s">
        <v>30</v>
      </c>
      <c r="O14" s="10" t="s">
        <v>100</v>
      </c>
      <c r="P14" s="3" t="s">
        <v>101</v>
      </c>
      <c r="Q14" s="3" t="s">
        <v>33</v>
      </c>
      <c r="R14" s="3">
        <v>7</v>
      </c>
      <c r="S14" s="3" t="s">
        <v>102</v>
      </c>
      <c r="T14" s="3" t="s">
        <v>29</v>
      </c>
      <c r="U14" s="3" t="s">
        <v>29</v>
      </c>
      <c r="V14" s="3" t="s">
        <v>29</v>
      </c>
    </row>
    <row r="15" spans="1:22" ht="76" customHeight="1" x14ac:dyDescent="0.35">
      <c r="A15" s="3">
        <v>11</v>
      </c>
      <c r="B15" s="3" t="s">
        <v>103</v>
      </c>
      <c r="C15" s="3" t="s">
        <v>24</v>
      </c>
      <c r="D15" s="3" t="s">
        <v>54</v>
      </c>
      <c r="E15" s="3" t="s">
        <v>104</v>
      </c>
      <c r="F15" s="3" t="s">
        <v>29</v>
      </c>
      <c r="G15" s="3" t="s">
        <v>29</v>
      </c>
      <c r="H15" s="3" t="s">
        <v>29</v>
      </c>
      <c r="I15" s="3" t="s">
        <v>29</v>
      </c>
      <c r="J15" s="3" t="s">
        <v>29</v>
      </c>
      <c r="K15" s="3" t="s">
        <v>29</v>
      </c>
      <c r="L15" s="3" t="s">
        <v>29</v>
      </c>
      <c r="M15" s="3" t="s">
        <v>30</v>
      </c>
      <c r="N15" s="3" t="s">
        <v>30</v>
      </c>
      <c r="O15" s="10" t="s">
        <v>105</v>
      </c>
      <c r="P15" s="3" t="s">
        <v>106</v>
      </c>
      <c r="Q15" s="3" t="s">
        <v>33</v>
      </c>
      <c r="R15" s="3">
        <v>6</v>
      </c>
      <c r="S15" s="3" t="s">
        <v>107</v>
      </c>
      <c r="T15" s="3" t="s">
        <v>29</v>
      </c>
      <c r="U15" s="3" t="s">
        <v>29</v>
      </c>
      <c r="V15" s="3" t="s">
        <v>29</v>
      </c>
    </row>
    <row r="16" spans="1:22" ht="76" customHeight="1" x14ac:dyDescent="0.35">
      <c r="A16" s="3">
        <v>12</v>
      </c>
      <c r="B16" s="3" t="s">
        <v>108</v>
      </c>
      <c r="C16" s="3" t="s">
        <v>24</v>
      </c>
      <c r="D16" s="3" t="s">
        <v>109</v>
      </c>
      <c r="E16" s="3" t="s">
        <v>110</v>
      </c>
      <c r="F16" s="3" t="s">
        <v>111</v>
      </c>
      <c r="G16" s="3" t="s">
        <v>112</v>
      </c>
      <c r="H16" s="3" t="s">
        <v>113</v>
      </c>
      <c r="I16" s="3" t="s">
        <v>29</v>
      </c>
      <c r="J16" s="3" t="s">
        <v>29</v>
      </c>
      <c r="K16" s="3" t="s">
        <v>29</v>
      </c>
      <c r="L16" s="3" t="s">
        <v>30</v>
      </c>
      <c r="M16" s="3" t="s">
        <v>30</v>
      </c>
      <c r="N16" s="3" t="s">
        <v>30</v>
      </c>
      <c r="O16" s="25" t="s">
        <v>114</v>
      </c>
      <c r="P16" s="3" t="s">
        <v>115</v>
      </c>
      <c r="Q16" s="3" t="s">
        <v>33</v>
      </c>
      <c r="R16" s="3">
        <v>4</v>
      </c>
      <c r="S16" s="3" t="s">
        <v>116</v>
      </c>
      <c r="T16" s="3" t="s">
        <v>29</v>
      </c>
      <c r="U16" s="3" t="s">
        <v>29</v>
      </c>
      <c r="V16" s="3" t="s">
        <v>35</v>
      </c>
    </row>
  </sheetData>
  <autoFilter ref="A4:V16" xr:uid="{00000000-0009-0000-0000-000000000000}"/>
  <mergeCells count="2">
    <mergeCell ref="A2:S2"/>
    <mergeCell ref="A1:S1"/>
  </mergeCells>
  <conditionalFormatting sqref="F5:G16">
    <cfRule type="expression" dxfId="11" priority="2">
      <formula>ISNUMBER(SEARCH("Not confirmed",F5))</formula>
    </cfRule>
  </conditionalFormatting>
  <conditionalFormatting sqref="F5:V16">
    <cfRule type="expression" dxfId="10" priority="1">
      <formula>F5="Not confirmed"</formula>
    </cfRule>
  </conditionalFormatting>
  <conditionalFormatting sqref="T5:V16">
    <cfRule type="expression" dxfId="9" priority="3">
      <formula>ISNUMBER(SEARCH("Not confirmed",T5))</formula>
    </cfRule>
  </conditionalFormatting>
  <hyperlinks>
    <hyperlink ref="O5" r:id="rId1" xr:uid="{00000000-0004-0000-0000-000000000000}"/>
    <hyperlink ref="O6" r:id="rId2" xr:uid="{00000000-0004-0000-0000-000001000000}"/>
    <hyperlink ref="O7" r:id="rId3" xr:uid="{00000000-0004-0000-0000-000002000000}"/>
    <hyperlink ref="O8" r:id="rId4" xr:uid="{00000000-0004-0000-0000-000003000000}"/>
    <hyperlink ref="O9" r:id="rId5" xr:uid="{00000000-0004-0000-0000-000004000000}"/>
    <hyperlink ref="O10" r:id="rId6" xr:uid="{00000000-0004-0000-0000-000005000000}"/>
    <hyperlink ref="O11" r:id="rId7" xr:uid="{00000000-0004-0000-0000-000006000000}"/>
    <hyperlink ref="O12" r:id="rId8" xr:uid="{00000000-0004-0000-0000-000007000000}"/>
    <hyperlink ref="O13" r:id="rId9" xr:uid="{00000000-0004-0000-0000-000008000000}"/>
    <hyperlink ref="O14" r:id="rId10" xr:uid="{00000000-0004-0000-0000-000009000000}"/>
    <hyperlink ref="O15" r:id="rId11" xr:uid="{00000000-0004-0000-0000-00000A000000}"/>
    <hyperlink ref="O16" r:id="rId12" xr:uid="{00000000-0004-0000-0000-00000B000000}"/>
  </hyperlinks>
  <pageMargins left="0.75" right="0.75" top="1" bottom="1" header="0.5" footer="0.5"/>
  <legacyDrawing r:id="rId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7365D"/>
    <pageSetUpPr fitToPage="1"/>
  </sheetPr>
  <dimension ref="A1:AA104"/>
  <sheetViews>
    <sheetView showGridLines="0" zoomScale="85" workbookViewId="0">
      <pane ySplit="4" topLeftCell="A5" activePane="bottomLeft" state="frozen"/>
      <selection pane="bottomLeft" activeCell="T4" sqref="T4"/>
    </sheetView>
  </sheetViews>
  <sheetFormatPr defaultRowHeight="14.5" x14ac:dyDescent="0.35"/>
  <cols>
    <col min="1" max="1" width="25" customWidth="1"/>
    <col min="2" max="2" width="16" customWidth="1"/>
    <col min="3" max="3" width="25" customWidth="1"/>
    <col min="4" max="4" width="28" customWidth="1"/>
    <col min="5" max="5" width="32" customWidth="1"/>
    <col min="6" max="6" width="16" customWidth="1"/>
    <col min="7" max="7" width="18" customWidth="1"/>
    <col min="8" max="8" width="22" customWidth="1"/>
    <col min="9" max="9" width="34" customWidth="1"/>
    <col min="10" max="10" width="18" customWidth="1"/>
    <col min="11" max="11" width="16" customWidth="1"/>
    <col min="12" max="12" width="24" customWidth="1"/>
    <col min="13" max="13" width="20" customWidth="1"/>
    <col min="14" max="14" width="23" customWidth="1"/>
    <col min="15" max="16" width="24" customWidth="1"/>
    <col min="17" max="17" width="22" customWidth="1"/>
    <col min="18" max="18" width="16" customWidth="1"/>
    <col min="19" max="19" width="20" customWidth="1"/>
    <col min="20" max="20" width="48" customWidth="1"/>
    <col min="21" max="21" width="22" customWidth="1"/>
    <col min="22" max="22" width="27" customWidth="1"/>
    <col min="23" max="23" width="30" customWidth="1"/>
    <col min="24" max="24" width="24" customWidth="1"/>
    <col min="25" max="25" width="22" customWidth="1"/>
    <col min="26" max="26" width="18" customWidth="1"/>
    <col min="27" max="27" width="25" customWidth="1"/>
  </cols>
  <sheetData>
    <row r="1" spans="1:27" ht="32" customHeight="1" x14ac:dyDescent="0.35">
      <c r="A1" s="31" t="s">
        <v>117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7" ht="32" customHeight="1" x14ac:dyDescent="0.35">
      <c r="A2" s="29" t="s">
        <v>118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</row>
    <row r="4" spans="1:27" ht="55" customHeight="1" x14ac:dyDescent="0.35">
      <c r="A4" s="26" t="s">
        <v>119</v>
      </c>
      <c r="B4" s="26" t="s">
        <v>120</v>
      </c>
      <c r="C4" s="26" t="s">
        <v>121</v>
      </c>
      <c r="D4" s="26" t="s">
        <v>122</v>
      </c>
      <c r="E4" s="26" t="s">
        <v>123</v>
      </c>
      <c r="F4" s="26" t="s">
        <v>124</v>
      </c>
      <c r="G4" s="26" t="s">
        <v>125</v>
      </c>
      <c r="H4" s="26" t="s">
        <v>126</v>
      </c>
      <c r="I4" s="26" t="s">
        <v>127</v>
      </c>
      <c r="J4" s="26" t="s">
        <v>128</v>
      </c>
      <c r="K4" s="26" t="s">
        <v>129</v>
      </c>
      <c r="L4" s="26" t="s">
        <v>130</v>
      </c>
      <c r="M4" s="26" t="s">
        <v>131</v>
      </c>
      <c r="N4" s="26" t="s">
        <v>132</v>
      </c>
      <c r="O4" s="26" t="s">
        <v>133</v>
      </c>
      <c r="P4" s="26" t="s">
        <v>134</v>
      </c>
      <c r="Q4" s="26" t="s">
        <v>135</v>
      </c>
      <c r="R4" s="26" t="s">
        <v>136</v>
      </c>
      <c r="S4" s="26" t="s">
        <v>137</v>
      </c>
      <c r="T4" s="26" t="s">
        <v>138</v>
      </c>
      <c r="U4" s="9" t="s">
        <v>139</v>
      </c>
      <c r="V4" s="9" t="s">
        <v>140</v>
      </c>
      <c r="W4" s="9" t="s">
        <v>141</v>
      </c>
      <c r="X4" s="9" t="s">
        <v>10</v>
      </c>
      <c r="Y4" s="9" t="s">
        <v>142</v>
      </c>
      <c r="Z4" s="9" t="s">
        <v>143</v>
      </c>
      <c r="AA4" s="9" t="s">
        <v>144</v>
      </c>
    </row>
    <row r="5" spans="1:27" ht="32" customHeight="1" x14ac:dyDescent="0.35">
      <c r="A5" s="11" t="s">
        <v>23</v>
      </c>
      <c r="B5" s="12"/>
      <c r="C5" s="11"/>
      <c r="D5" s="11"/>
      <c r="E5" s="11"/>
      <c r="F5" s="12"/>
      <c r="G5" s="12"/>
      <c r="H5" s="11"/>
      <c r="I5" s="11"/>
      <c r="J5" s="11"/>
      <c r="K5" s="12"/>
      <c r="L5" s="11"/>
      <c r="M5" s="11"/>
      <c r="N5" s="11"/>
      <c r="O5" s="11"/>
      <c r="P5" s="11"/>
      <c r="Q5" s="11" t="s">
        <v>33</v>
      </c>
      <c r="R5" s="12"/>
      <c r="S5" s="11"/>
      <c r="T5" s="11"/>
      <c r="U5" s="11" t="s">
        <v>29</v>
      </c>
      <c r="V5" s="12" t="s">
        <v>29</v>
      </c>
      <c r="W5" s="11" t="s">
        <v>29</v>
      </c>
      <c r="X5" s="11" t="s">
        <v>29</v>
      </c>
      <c r="Y5" s="11" t="s">
        <v>29</v>
      </c>
      <c r="Z5" s="12"/>
      <c r="AA5" s="11" t="s">
        <v>29</v>
      </c>
    </row>
    <row r="6" spans="1:27" ht="32" customHeight="1" x14ac:dyDescent="0.35">
      <c r="A6" s="11" t="s">
        <v>36</v>
      </c>
      <c r="B6" s="12"/>
      <c r="C6" s="11"/>
      <c r="D6" s="11"/>
      <c r="E6" s="11"/>
      <c r="F6" s="12"/>
      <c r="G6" s="12"/>
      <c r="H6" s="11"/>
      <c r="I6" s="11"/>
      <c r="J6" s="11"/>
      <c r="K6" s="12"/>
      <c r="L6" s="11"/>
      <c r="M6" s="11"/>
      <c r="N6" s="11"/>
      <c r="O6" s="11"/>
      <c r="P6" s="11"/>
      <c r="Q6" s="11" t="s">
        <v>33</v>
      </c>
      <c r="R6" s="12"/>
      <c r="S6" s="11"/>
      <c r="T6" s="11"/>
      <c r="U6" s="11" t="s">
        <v>29</v>
      </c>
      <c r="V6" s="12" t="s">
        <v>29</v>
      </c>
      <c r="W6" s="11" t="s">
        <v>29</v>
      </c>
      <c r="X6" s="11" t="s">
        <v>29</v>
      </c>
      <c r="Y6" s="11" t="s">
        <v>29</v>
      </c>
      <c r="Z6" s="12"/>
      <c r="AA6" s="11" t="s">
        <v>29</v>
      </c>
    </row>
    <row r="7" spans="1:27" ht="32" customHeight="1" x14ac:dyDescent="0.35">
      <c r="A7" s="11" t="s">
        <v>44</v>
      </c>
      <c r="B7" s="12"/>
      <c r="C7" s="11"/>
      <c r="D7" s="11"/>
      <c r="E7" s="11"/>
      <c r="F7" s="12"/>
      <c r="G7" s="12"/>
      <c r="H7" s="11"/>
      <c r="I7" s="11"/>
      <c r="J7" s="11"/>
      <c r="K7" s="12"/>
      <c r="L7" s="11"/>
      <c r="M7" s="11"/>
      <c r="N7" s="11"/>
      <c r="O7" s="11"/>
      <c r="P7" s="11"/>
      <c r="Q7" s="11" t="s">
        <v>33</v>
      </c>
      <c r="R7" s="12"/>
      <c r="S7" s="11"/>
      <c r="T7" s="11"/>
      <c r="U7" s="11" t="s">
        <v>29</v>
      </c>
      <c r="V7" s="12" t="s">
        <v>29</v>
      </c>
      <c r="W7" s="11" t="s">
        <v>29</v>
      </c>
      <c r="X7" s="11" t="s">
        <v>29</v>
      </c>
      <c r="Y7" s="11" t="s">
        <v>29</v>
      </c>
      <c r="Z7" s="12"/>
      <c r="AA7" s="11" t="s">
        <v>29</v>
      </c>
    </row>
    <row r="8" spans="1:27" ht="32" customHeight="1" x14ac:dyDescent="0.35">
      <c r="A8" s="11" t="s">
        <v>52</v>
      </c>
      <c r="B8" s="12"/>
      <c r="C8" s="11"/>
      <c r="D8" s="11"/>
      <c r="E8" s="11"/>
      <c r="F8" s="12"/>
      <c r="G8" s="12"/>
      <c r="H8" s="11"/>
      <c r="I8" s="11"/>
      <c r="J8" s="11"/>
      <c r="K8" s="12"/>
      <c r="L8" s="11"/>
      <c r="M8" s="11"/>
      <c r="N8" s="11"/>
      <c r="O8" s="11"/>
      <c r="P8" s="11"/>
      <c r="Q8" s="11" t="s">
        <v>33</v>
      </c>
      <c r="R8" s="12"/>
      <c r="S8" s="11"/>
      <c r="T8" s="11"/>
      <c r="U8" s="11" t="s">
        <v>29</v>
      </c>
      <c r="V8" s="12" t="s">
        <v>29</v>
      </c>
      <c r="W8" s="11" t="s">
        <v>29</v>
      </c>
      <c r="X8" s="11" t="s">
        <v>29</v>
      </c>
      <c r="Y8" s="11" t="s">
        <v>29</v>
      </c>
      <c r="Z8" s="12"/>
      <c r="AA8" s="11" t="s">
        <v>29</v>
      </c>
    </row>
    <row r="9" spans="1:27" ht="32" customHeight="1" x14ac:dyDescent="0.35">
      <c r="A9" s="11" t="s">
        <v>59</v>
      </c>
      <c r="B9" s="12"/>
      <c r="C9" s="11"/>
      <c r="D9" s="11"/>
      <c r="E9" s="11"/>
      <c r="F9" s="12"/>
      <c r="G9" s="12"/>
      <c r="H9" s="11"/>
      <c r="I9" s="11"/>
      <c r="J9" s="11"/>
      <c r="K9" s="12"/>
      <c r="L9" s="11"/>
      <c r="M9" s="11"/>
      <c r="N9" s="11"/>
      <c r="O9" s="11"/>
      <c r="P9" s="11"/>
      <c r="Q9" s="11" t="s">
        <v>33</v>
      </c>
      <c r="R9" s="12"/>
      <c r="S9" s="11"/>
      <c r="T9" s="11"/>
      <c r="U9" s="11" t="s">
        <v>29</v>
      </c>
      <c r="V9" s="12" t="s">
        <v>29</v>
      </c>
      <c r="W9" s="11" t="s">
        <v>29</v>
      </c>
      <c r="X9" s="11" t="s">
        <v>29</v>
      </c>
      <c r="Y9" s="11" t="s">
        <v>29</v>
      </c>
      <c r="Z9" s="12"/>
      <c r="AA9" s="11" t="s">
        <v>29</v>
      </c>
    </row>
    <row r="10" spans="1:27" ht="32" customHeight="1" x14ac:dyDescent="0.35">
      <c r="A10" s="11" t="s">
        <v>67</v>
      </c>
      <c r="B10" s="12"/>
      <c r="C10" s="11"/>
      <c r="D10" s="11"/>
      <c r="E10" s="11"/>
      <c r="F10" s="12"/>
      <c r="G10" s="12"/>
      <c r="H10" s="11"/>
      <c r="I10" s="11"/>
      <c r="J10" s="11"/>
      <c r="K10" s="12"/>
      <c r="L10" s="11"/>
      <c r="M10" s="11"/>
      <c r="N10" s="11"/>
      <c r="O10" s="11"/>
      <c r="P10" s="11"/>
      <c r="Q10" s="11" t="s">
        <v>33</v>
      </c>
      <c r="R10" s="12"/>
      <c r="S10" s="11"/>
      <c r="T10" s="11"/>
      <c r="U10" s="11" t="s">
        <v>29</v>
      </c>
      <c r="V10" s="12" t="s">
        <v>29</v>
      </c>
      <c r="W10" s="11" t="s">
        <v>29</v>
      </c>
      <c r="X10" s="11" t="s">
        <v>29</v>
      </c>
      <c r="Y10" s="11" t="s">
        <v>29</v>
      </c>
      <c r="Z10" s="12"/>
      <c r="AA10" s="11" t="s">
        <v>29</v>
      </c>
    </row>
    <row r="11" spans="1:27" ht="32" customHeight="1" x14ac:dyDescent="0.35">
      <c r="A11" s="11" t="s">
        <v>76</v>
      </c>
      <c r="B11" s="12"/>
      <c r="C11" s="11"/>
      <c r="D11" s="11"/>
      <c r="E11" s="11"/>
      <c r="F11" s="12"/>
      <c r="G11" s="12"/>
      <c r="H11" s="11"/>
      <c r="I11" s="11"/>
      <c r="J11" s="11"/>
      <c r="K11" s="12"/>
      <c r="L11" s="11"/>
      <c r="M11" s="11"/>
      <c r="N11" s="11"/>
      <c r="O11" s="11"/>
      <c r="P11" s="11"/>
      <c r="Q11" s="11" t="s">
        <v>33</v>
      </c>
      <c r="R11" s="12"/>
      <c r="S11" s="11"/>
      <c r="T11" s="11"/>
      <c r="U11" s="11" t="s">
        <v>29</v>
      </c>
      <c r="V11" s="12" t="s">
        <v>29</v>
      </c>
      <c r="W11" s="11" t="s">
        <v>29</v>
      </c>
      <c r="X11" s="11" t="s">
        <v>29</v>
      </c>
      <c r="Y11" s="11" t="s">
        <v>29</v>
      </c>
      <c r="Z11" s="12"/>
      <c r="AA11" s="11" t="s">
        <v>29</v>
      </c>
    </row>
    <row r="12" spans="1:27" ht="32" customHeight="1" x14ac:dyDescent="0.35">
      <c r="A12" s="11" t="s">
        <v>83</v>
      </c>
      <c r="B12" s="12"/>
      <c r="C12" s="11"/>
      <c r="D12" s="11"/>
      <c r="E12" s="11"/>
      <c r="F12" s="12"/>
      <c r="G12" s="12"/>
      <c r="H12" s="11"/>
      <c r="I12" s="11"/>
      <c r="J12" s="11"/>
      <c r="K12" s="12"/>
      <c r="L12" s="11"/>
      <c r="M12" s="11"/>
      <c r="N12" s="11"/>
      <c r="O12" s="11"/>
      <c r="P12" s="11"/>
      <c r="Q12" s="11" t="s">
        <v>33</v>
      </c>
      <c r="R12" s="12"/>
      <c r="S12" s="11"/>
      <c r="T12" s="11"/>
      <c r="U12" s="11" t="s">
        <v>29</v>
      </c>
      <c r="V12" s="12" t="s">
        <v>29</v>
      </c>
      <c r="W12" s="11" t="s">
        <v>29</v>
      </c>
      <c r="X12" s="11" t="s">
        <v>29</v>
      </c>
      <c r="Y12" s="11" t="s">
        <v>29</v>
      </c>
      <c r="Z12" s="12"/>
      <c r="AA12" s="11" t="s">
        <v>29</v>
      </c>
    </row>
    <row r="13" spans="1:27" ht="32" customHeight="1" x14ac:dyDescent="0.35">
      <c r="A13" s="11" t="s">
        <v>89</v>
      </c>
      <c r="B13" s="12"/>
      <c r="C13" s="11"/>
      <c r="D13" s="11"/>
      <c r="E13" s="11"/>
      <c r="F13" s="12"/>
      <c r="G13" s="12"/>
      <c r="H13" s="11"/>
      <c r="I13" s="11"/>
      <c r="J13" s="11"/>
      <c r="K13" s="12"/>
      <c r="L13" s="11"/>
      <c r="M13" s="11"/>
      <c r="N13" s="11"/>
      <c r="O13" s="11"/>
      <c r="P13" s="11"/>
      <c r="Q13" s="11" t="s">
        <v>33</v>
      </c>
      <c r="R13" s="12"/>
      <c r="S13" s="11"/>
      <c r="T13" s="11"/>
      <c r="U13" s="11" t="s">
        <v>29</v>
      </c>
      <c r="V13" s="12" t="s">
        <v>29</v>
      </c>
      <c r="W13" s="11" t="s">
        <v>29</v>
      </c>
      <c r="X13" s="11" t="s">
        <v>29</v>
      </c>
      <c r="Y13" s="11" t="s">
        <v>29</v>
      </c>
      <c r="Z13" s="12"/>
      <c r="AA13" s="11" t="s">
        <v>29</v>
      </c>
    </row>
    <row r="14" spans="1:27" ht="32" customHeight="1" x14ac:dyDescent="0.35">
      <c r="A14" s="11" t="s">
        <v>97</v>
      </c>
      <c r="B14" s="12"/>
      <c r="C14" s="11"/>
      <c r="D14" s="11"/>
      <c r="E14" s="11"/>
      <c r="F14" s="12"/>
      <c r="G14" s="12"/>
      <c r="H14" s="11"/>
      <c r="I14" s="11"/>
      <c r="J14" s="11"/>
      <c r="K14" s="12"/>
      <c r="L14" s="11"/>
      <c r="M14" s="11"/>
      <c r="N14" s="11"/>
      <c r="O14" s="11"/>
      <c r="P14" s="11"/>
      <c r="Q14" s="11" t="s">
        <v>33</v>
      </c>
      <c r="R14" s="12"/>
      <c r="S14" s="11"/>
      <c r="T14" s="11"/>
      <c r="U14" s="11" t="s">
        <v>29</v>
      </c>
      <c r="V14" s="12" t="s">
        <v>29</v>
      </c>
      <c r="W14" s="11" t="s">
        <v>29</v>
      </c>
      <c r="X14" s="11" t="s">
        <v>29</v>
      </c>
      <c r="Y14" s="11" t="s">
        <v>29</v>
      </c>
      <c r="Z14" s="12"/>
      <c r="AA14" s="11" t="s">
        <v>29</v>
      </c>
    </row>
    <row r="15" spans="1:27" ht="32" customHeight="1" x14ac:dyDescent="0.35">
      <c r="A15" s="11" t="s">
        <v>103</v>
      </c>
      <c r="B15" s="12"/>
      <c r="C15" s="11"/>
      <c r="D15" s="11"/>
      <c r="E15" s="11"/>
      <c r="F15" s="12"/>
      <c r="G15" s="12"/>
      <c r="H15" s="11"/>
      <c r="I15" s="11"/>
      <c r="J15" s="11"/>
      <c r="K15" s="12"/>
      <c r="L15" s="11"/>
      <c r="M15" s="11"/>
      <c r="N15" s="11"/>
      <c r="O15" s="11"/>
      <c r="P15" s="11"/>
      <c r="Q15" s="11" t="s">
        <v>33</v>
      </c>
      <c r="R15" s="12"/>
      <c r="S15" s="11"/>
      <c r="T15" s="11"/>
      <c r="U15" s="11" t="s">
        <v>29</v>
      </c>
      <c r="V15" s="12" t="s">
        <v>29</v>
      </c>
      <c r="W15" s="11" t="s">
        <v>29</v>
      </c>
      <c r="X15" s="11" t="s">
        <v>29</v>
      </c>
      <c r="Y15" s="11" t="s">
        <v>29</v>
      </c>
      <c r="Z15" s="12"/>
      <c r="AA15" s="11" t="s">
        <v>29</v>
      </c>
    </row>
    <row r="16" spans="1:27" ht="32" customHeight="1" x14ac:dyDescent="0.35">
      <c r="A16" s="11" t="s">
        <v>108</v>
      </c>
      <c r="B16" s="12"/>
      <c r="C16" s="11"/>
      <c r="D16" s="11"/>
      <c r="E16" s="11"/>
      <c r="F16" s="12"/>
      <c r="G16" s="12"/>
      <c r="H16" s="11"/>
      <c r="I16" s="11"/>
      <c r="J16" s="11"/>
      <c r="K16" s="12"/>
      <c r="L16" s="11"/>
      <c r="M16" s="11"/>
      <c r="N16" s="11"/>
      <c r="O16" s="11"/>
      <c r="P16" s="11"/>
      <c r="Q16" s="11" t="s">
        <v>33</v>
      </c>
      <c r="R16" s="12"/>
      <c r="S16" s="11"/>
      <c r="T16" s="11"/>
      <c r="U16" s="11" t="s">
        <v>29</v>
      </c>
      <c r="V16" s="12" t="s">
        <v>29</v>
      </c>
      <c r="W16" s="11" t="s">
        <v>29</v>
      </c>
      <c r="X16" s="11" t="s">
        <v>29</v>
      </c>
      <c r="Y16" s="11" t="s">
        <v>29</v>
      </c>
      <c r="Z16" s="12"/>
      <c r="AA16" s="11" t="s">
        <v>29</v>
      </c>
    </row>
    <row r="17" spans="1:27" x14ac:dyDescent="0.35">
      <c r="A17" s="11"/>
      <c r="B17" s="12"/>
      <c r="C17" s="11"/>
      <c r="D17" s="11"/>
      <c r="E17" s="11"/>
      <c r="F17" s="12"/>
      <c r="G17" s="12"/>
      <c r="H17" s="11"/>
      <c r="I17" s="11"/>
      <c r="J17" s="11"/>
      <c r="K17" s="12"/>
      <c r="L17" s="11"/>
      <c r="M17" s="11"/>
      <c r="N17" s="11"/>
      <c r="O17" s="11"/>
      <c r="P17" s="11"/>
      <c r="Q17" s="11"/>
      <c r="R17" s="12"/>
      <c r="S17" s="11"/>
      <c r="T17" s="11"/>
      <c r="U17" s="11" t="s">
        <v>29</v>
      </c>
      <c r="V17" s="12" t="s">
        <v>29</v>
      </c>
      <c r="W17" s="11" t="s">
        <v>29</v>
      </c>
      <c r="X17" s="11" t="s">
        <v>29</v>
      </c>
      <c r="Y17" s="11" t="s">
        <v>29</v>
      </c>
      <c r="Z17" s="12"/>
      <c r="AA17" s="11" t="s">
        <v>29</v>
      </c>
    </row>
    <row r="18" spans="1:27" x14ac:dyDescent="0.35">
      <c r="A18" s="11"/>
      <c r="B18" s="12"/>
      <c r="C18" s="11"/>
      <c r="D18" s="11"/>
      <c r="E18" s="11"/>
      <c r="F18" s="12"/>
      <c r="G18" s="12"/>
      <c r="H18" s="11"/>
      <c r="I18" s="11"/>
      <c r="J18" s="11"/>
      <c r="K18" s="12"/>
      <c r="L18" s="11"/>
      <c r="M18" s="11"/>
      <c r="N18" s="11"/>
      <c r="O18" s="11"/>
      <c r="P18" s="11"/>
      <c r="Q18" s="11"/>
      <c r="R18" s="12"/>
      <c r="S18" s="11"/>
      <c r="T18" s="11"/>
      <c r="U18" s="11" t="s">
        <v>29</v>
      </c>
      <c r="V18" s="12" t="s">
        <v>29</v>
      </c>
      <c r="W18" s="11" t="s">
        <v>29</v>
      </c>
      <c r="X18" s="11" t="s">
        <v>29</v>
      </c>
      <c r="Y18" s="11" t="s">
        <v>29</v>
      </c>
      <c r="Z18" s="12"/>
      <c r="AA18" s="11" t="s">
        <v>29</v>
      </c>
    </row>
    <row r="19" spans="1:27" x14ac:dyDescent="0.35">
      <c r="A19" s="11"/>
      <c r="B19" s="12"/>
      <c r="C19" s="11"/>
      <c r="D19" s="11"/>
      <c r="E19" s="11"/>
      <c r="F19" s="12"/>
      <c r="G19" s="12"/>
      <c r="H19" s="11"/>
      <c r="I19" s="11"/>
      <c r="J19" s="11"/>
      <c r="K19" s="12"/>
      <c r="L19" s="11"/>
      <c r="M19" s="11"/>
      <c r="N19" s="11"/>
      <c r="O19" s="11"/>
      <c r="P19" s="11"/>
      <c r="Q19" s="11"/>
      <c r="R19" s="12"/>
      <c r="S19" s="11"/>
      <c r="T19" s="11"/>
      <c r="U19" s="11" t="s">
        <v>29</v>
      </c>
      <c r="V19" s="12" t="s">
        <v>29</v>
      </c>
      <c r="W19" s="11" t="s">
        <v>29</v>
      </c>
      <c r="X19" s="11" t="s">
        <v>29</v>
      </c>
      <c r="Y19" s="11" t="s">
        <v>29</v>
      </c>
      <c r="Z19" s="12"/>
      <c r="AA19" s="11" t="s">
        <v>29</v>
      </c>
    </row>
    <row r="20" spans="1:27" x14ac:dyDescent="0.35">
      <c r="A20" s="11"/>
      <c r="B20" s="12"/>
      <c r="C20" s="11"/>
      <c r="D20" s="11"/>
      <c r="E20" s="11"/>
      <c r="F20" s="12"/>
      <c r="G20" s="12"/>
      <c r="H20" s="11"/>
      <c r="I20" s="11"/>
      <c r="J20" s="11"/>
      <c r="K20" s="12"/>
      <c r="L20" s="11"/>
      <c r="M20" s="11"/>
      <c r="N20" s="11"/>
      <c r="O20" s="11"/>
      <c r="P20" s="11"/>
      <c r="Q20" s="11"/>
      <c r="R20" s="12"/>
      <c r="S20" s="11"/>
      <c r="T20" s="11"/>
      <c r="U20" s="11" t="s">
        <v>29</v>
      </c>
      <c r="V20" s="12" t="s">
        <v>29</v>
      </c>
      <c r="W20" s="11" t="s">
        <v>29</v>
      </c>
      <c r="X20" s="11" t="s">
        <v>29</v>
      </c>
      <c r="Y20" s="11" t="s">
        <v>29</v>
      </c>
      <c r="Z20" s="12"/>
      <c r="AA20" s="11" t="s">
        <v>29</v>
      </c>
    </row>
    <row r="21" spans="1:27" x14ac:dyDescent="0.35">
      <c r="A21" s="11"/>
      <c r="B21" s="12"/>
      <c r="C21" s="11"/>
      <c r="D21" s="11"/>
      <c r="E21" s="11"/>
      <c r="F21" s="12"/>
      <c r="G21" s="12"/>
      <c r="H21" s="11"/>
      <c r="I21" s="11"/>
      <c r="J21" s="11"/>
      <c r="K21" s="12"/>
      <c r="L21" s="11"/>
      <c r="M21" s="11"/>
      <c r="N21" s="11"/>
      <c r="O21" s="11"/>
      <c r="P21" s="11"/>
      <c r="Q21" s="11"/>
      <c r="R21" s="12"/>
      <c r="S21" s="11"/>
      <c r="T21" s="11"/>
      <c r="U21" s="11" t="s">
        <v>29</v>
      </c>
      <c r="V21" s="12" t="s">
        <v>29</v>
      </c>
      <c r="W21" s="11" t="s">
        <v>29</v>
      </c>
      <c r="X21" s="11" t="s">
        <v>29</v>
      </c>
      <c r="Y21" s="11" t="s">
        <v>29</v>
      </c>
      <c r="Z21" s="12"/>
      <c r="AA21" s="11" t="s">
        <v>29</v>
      </c>
    </row>
    <row r="22" spans="1:27" x14ac:dyDescent="0.35">
      <c r="A22" s="11"/>
      <c r="B22" s="12"/>
      <c r="C22" s="11"/>
      <c r="D22" s="11"/>
      <c r="E22" s="11"/>
      <c r="F22" s="12"/>
      <c r="G22" s="12"/>
      <c r="H22" s="11"/>
      <c r="I22" s="11"/>
      <c r="J22" s="11"/>
      <c r="K22" s="12"/>
      <c r="L22" s="11"/>
      <c r="M22" s="11"/>
      <c r="N22" s="11"/>
      <c r="O22" s="11"/>
      <c r="P22" s="11"/>
      <c r="Q22" s="11"/>
      <c r="R22" s="12"/>
      <c r="S22" s="11"/>
      <c r="T22" s="11"/>
      <c r="U22" s="11" t="s">
        <v>29</v>
      </c>
      <c r="V22" s="12" t="s">
        <v>29</v>
      </c>
      <c r="W22" s="11" t="s">
        <v>29</v>
      </c>
      <c r="X22" s="11" t="s">
        <v>29</v>
      </c>
      <c r="Y22" s="11" t="s">
        <v>29</v>
      </c>
      <c r="Z22" s="12"/>
      <c r="AA22" s="11" t="s">
        <v>29</v>
      </c>
    </row>
    <row r="23" spans="1:27" x14ac:dyDescent="0.35">
      <c r="A23" s="11"/>
      <c r="B23" s="12"/>
      <c r="C23" s="11"/>
      <c r="D23" s="11"/>
      <c r="E23" s="11"/>
      <c r="F23" s="12"/>
      <c r="G23" s="12"/>
      <c r="H23" s="11"/>
      <c r="I23" s="11"/>
      <c r="J23" s="11"/>
      <c r="K23" s="12"/>
      <c r="L23" s="11"/>
      <c r="M23" s="11"/>
      <c r="N23" s="11"/>
      <c r="O23" s="11"/>
      <c r="P23" s="11"/>
      <c r="Q23" s="11"/>
      <c r="R23" s="12"/>
      <c r="S23" s="11"/>
      <c r="T23" s="11"/>
      <c r="U23" s="11" t="s">
        <v>29</v>
      </c>
      <c r="V23" s="12" t="s">
        <v>29</v>
      </c>
      <c r="W23" s="11" t="s">
        <v>29</v>
      </c>
      <c r="X23" s="11" t="s">
        <v>29</v>
      </c>
      <c r="Y23" s="11" t="s">
        <v>29</v>
      </c>
      <c r="Z23" s="12"/>
      <c r="AA23" s="11" t="s">
        <v>29</v>
      </c>
    </row>
    <row r="24" spans="1:27" x14ac:dyDescent="0.35">
      <c r="A24" s="11"/>
      <c r="B24" s="12"/>
      <c r="C24" s="11"/>
      <c r="D24" s="11"/>
      <c r="E24" s="11"/>
      <c r="F24" s="12"/>
      <c r="G24" s="12"/>
      <c r="H24" s="11"/>
      <c r="I24" s="11"/>
      <c r="J24" s="11"/>
      <c r="K24" s="12"/>
      <c r="L24" s="11"/>
      <c r="M24" s="11"/>
      <c r="N24" s="11"/>
      <c r="O24" s="11"/>
      <c r="P24" s="11"/>
      <c r="Q24" s="11"/>
      <c r="R24" s="12"/>
      <c r="S24" s="11"/>
      <c r="T24" s="11"/>
      <c r="U24" s="11" t="s">
        <v>29</v>
      </c>
      <c r="V24" s="12" t="s">
        <v>29</v>
      </c>
      <c r="W24" s="11" t="s">
        <v>29</v>
      </c>
      <c r="X24" s="11" t="s">
        <v>29</v>
      </c>
      <c r="Y24" s="11" t="s">
        <v>29</v>
      </c>
      <c r="Z24" s="12"/>
      <c r="AA24" s="11" t="s">
        <v>29</v>
      </c>
    </row>
    <row r="25" spans="1:27" x14ac:dyDescent="0.35">
      <c r="A25" s="11"/>
      <c r="B25" s="12"/>
      <c r="C25" s="11"/>
      <c r="D25" s="11"/>
      <c r="E25" s="11"/>
      <c r="F25" s="12"/>
      <c r="G25" s="12"/>
      <c r="H25" s="11"/>
      <c r="I25" s="11"/>
      <c r="J25" s="11"/>
      <c r="K25" s="12"/>
      <c r="L25" s="11"/>
      <c r="M25" s="11"/>
      <c r="N25" s="11"/>
      <c r="O25" s="11"/>
      <c r="P25" s="11"/>
      <c r="Q25" s="11"/>
      <c r="R25" s="12"/>
      <c r="S25" s="11"/>
      <c r="T25" s="11"/>
      <c r="U25" s="11" t="s">
        <v>29</v>
      </c>
      <c r="V25" s="12" t="s">
        <v>29</v>
      </c>
      <c r="W25" s="11" t="s">
        <v>29</v>
      </c>
      <c r="X25" s="11" t="s">
        <v>29</v>
      </c>
      <c r="Y25" s="11" t="s">
        <v>29</v>
      </c>
      <c r="Z25" s="12"/>
      <c r="AA25" s="11" t="s">
        <v>29</v>
      </c>
    </row>
    <row r="26" spans="1:27" x14ac:dyDescent="0.35">
      <c r="A26" s="11"/>
      <c r="B26" s="12"/>
      <c r="C26" s="11"/>
      <c r="D26" s="11"/>
      <c r="E26" s="11"/>
      <c r="F26" s="12"/>
      <c r="G26" s="12"/>
      <c r="H26" s="11"/>
      <c r="I26" s="11"/>
      <c r="J26" s="11"/>
      <c r="K26" s="12"/>
      <c r="L26" s="11"/>
      <c r="M26" s="11"/>
      <c r="N26" s="11"/>
      <c r="O26" s="11"/>
      <c r="P26" s="11"/>
      <c r="Q26" s="11"/>
      <c r="R26" s="12"/>
      <c r="S26" s="11"/>
      <c r="T26" s="11"/>
      <c r="U26" s="11" t="s">
        <v>29</v>
      </c>
      <c r="V26" s="12" t="s">
        <v>29</v>
      </c>
      <c r="W26" s="11" t="s">
        <v>29</v>
      </c>
      <c r="X26" s="11" t="s">
        <v>29</v>
      </c>
      <c r="Y26" s="11" t="s">
        <v>29</v>
      </c>
      <c r="Z26" s="12"/>
      <c r="AA26" s="11" t="s">
        <v>29</v>
      </c>
    </row>
    <row r="27" spans="1:27" x14ac:dyDescent="0.35">
      <c r="A27" s="11"/>
      <c r="B27" s="12"/>
      <c r="C27" s="11"/>
      <c r="D27" s="11"/>
      <c r="E27" s="11"/>
      <c r="F27" s="12"/>
      <c r="G27" s="12"/>
      <c r="H27" s="11"/>
      <c r="I27" s="11"/>
      <c r="J27" s="11"/>
      <c r="K27" s="12"/>
      <c r="L27" s="11"/>
      <c r="M27" s="11"/>
      <c r="N27" s="11"/>
      <c r="O27" s="11"/>
      <c r="P27" s="11"/>
      <c r="Q27" s="11"/>
      <c r="R27" s="12"/>
      <c r="S27" s="11"/>
      <c r="T27" s="11"/>
      <c r="U27" s="11" t="s">
        <v>29</v>
      </c>
      <c r="V27" s="12" t="s">
        <v>29</v>
      </c>
      <c r="W27" s="11" t="s">
        <v>29</v>
      </c>
      <c r="X27" s="11" t="s">
        <v>29</v>
      </c>
      <c r="Y27" s="11" t="s">
        <v>29</v>
      </c>
      <c r="Z27" s="12"/>
      <c r="AA27" s="11" t="s">
        <v>29</v>
      </c>
    </row>
    <row r="28" spans="1:27" x14ac:dyDescent="0.35">
      <c r="A28" s="11"/>
      <c r="B28" s="12"/>
      <c r="C28" s="11"/>
      <c r="D28" s="11"/>
      <c r="E28" s="11"/>
      <c r="F28" s="12"/>
      <c r="G28" s="12"/>
      <c r="H28" s="11"/>
      <c r="I28" s="11"/>
      <c r="J28" s="11"/>
      <c r="K28" s="12"/>
      <c r="L28" s="11"/>
      <c r="M28" s="11"/>
      <c r="N28" s="11"/>
      <c r="O28" s="11"/>
      <c r="P28" s="11"/>
      <c r="Q28" s="11"/>
      <c r="R28" s="12"/>
      <c r="S28" s="11"/>
      <c r="T28" s="11"/>
      <c r="U28" s="11" t="s">
        <v>29</v>
      </c>
      <c r="V28" s="12" t="s">
        <v>29</v>
      </c>
      <c r="W28" s="11" t="s">
        <v>29</v>
      </c>
      <c r="X28" s="11" t="s">
        <v>29</v>
      </c>
      <c r="Y28" s="11" t="s">
        <v>29</v>
      </c>
      <c r="Z28" s="12"/>
      <c r="AA28" s="11" t="s">
        <v>29</v>
      </c>
    </row>
    <row r="29" spans="1:27" x14ac:dyDescent="0.35">
      <c r="A29" s="11"/>
      <c r="B29" s="12"/>
      <c r="C29" s="11"/>
      <c r="D29" s="11"/>
      <c r="E29" s="11"/>
      <c r="F29" s="12"/>
      <c r="G29" s="12"/>
      <c r="H29" s="11"/>
      <c r="I29" s="11"/>
      <c r="J29" s="11"/>
      <c r="K29" s="12"/>
      <c r="L29" s="11"/>
      <c r="M29" s="11"/>
      <c r="N29" s="11"/>
      <c r="O29" s="11"/>
      <c r="P29" s="11"/>
      <c r="Q29" s="11"/>
      <c r="R29" s="12"/>
      <c r="S29" s="11"/>
      <c r="T29" s="11"/>
      <c r="U29" s="11" t="s">
        <v>29</v>
      </c>
      <c r="V29" s="12" t="s">
        <v>29</v>
      </c>
      <c r="W29" s="11" t="s">
        <v>29</v>
      </c>
      <c r="X29" s="11" t="s">
        <v>29</v>
      </c>
      <c r="Y29" s="11" t="s">
        <v>29</v>
      </c>
      <c r="Z29" s="12"/>
      <c r="AA29" s="11" t="s">
        <v>29</v>
      </c>
    </row>
    <row r="30" spans="1:27" x14ac:dyDescent="0.35">
      <c r="A30" s="11"/>
      <c r="B30" s="12"/>
      <c r="C30" s="11"/>
      <c r="D30" s="11"/>
      <c r="E30" s="11"/>
      <c r="F30" s="12"/>
      <c r="G30" s="12"/>
      <c r="H30" s="11"/>
      <c r="I30" s="11"/>
      <c r="J30" s="11"/>
      <c r="K30" s="12"/>
      <c r="L30" s="11"/>
      <c r="M30" s="11"/>
      <c r="N30" s="11"/>
      <c r="O30" s="11"/>
      <c r="P30" s="11"/>
      <c r="Q30" s="11"/>
      <c r="R30" s="12"/>
      <c r="S30" s="11"/>
      <c r="T30" s="11"/>
      <c r="U30" s="11" t="s">
        <v>29</v>
      </c>
      <c r="V30" s="12" t="s">
        <v>29</v>
      </c>
      <c r="W30" s="11" t="s">
        <v>29</v>
      </c>
      <c r="X30" s="11" t="s">
        <v>29</v>
      </c>
      <c r="Y30" s="11" t="s">
        <v>29</v>
      </c>
      <c r="Z30" s="12"/>
      <c r="AA30" s="11" t="s">
        <v>29</v>
      </c>
    </row>
    <row r="31" spans="1:27" x14ac:dyDescent="0.35">
      <c r="A31" s="11"/>
      <c r="B31" s="12"/>
      <c r="C31" s="11"/>
      <c r="D31" s="11"/>
      <c r="E31" s="11"/>
      <c r="F31" s="12"/>
      <c r="G31" s="12"/>
      <c r="H31" s="11"/>
      <c r="I31" s="11"/>
      <c r="J31" s="11"/>
      <c r="K31" s="12"/>
      <c r="L31" s="11"/>
      <c r="M31" s="11"/>
      <c r="N31" s="11"/>
      <c r="O31" s="11"/>
      <c r="P31" s="11"/>
      <c r="Q31" s="11"/>
      <c r="R31" s="12"/>
      <c r="S31" s="11"/>
      <c r="T31" s="11"/>
      <c r="U31" s="11" t="s">
        <v>29</v>
      </c>
      <c r="V31" s="12" t="s">
        <v>29</v>
      </c>
      <c r="W31" s="11" t="s">
        <v>29</v>
      </c>
      <c r="X31" s="11" t="s">
        <v>29</v>
      </c>
      <c r="Y31" s="11" t="s">
        <v>29</v>
      </c>
      <c r="Z31" s="12"/>
      <c r="AA31" s="11" t="s">
        <v>29</v>
      </c>
    </row>
    <row r="32" spans="1:27" x14ac:dyDescent="0.35">
      <c r="A32" s="11"/>
      <c r="B32" s="12"/>
      <c r="C32" s="11"/>
      <c r="D32" s="11"/>
      <c r="E32" s="11"/>
      <c r="F32" s="12"/>
      <c r="G32" s="12"/>
      <c r="H32" s="11"/>
      <c r="I32" s="11"/>
      <c r="J32" s="11"/>
      <c r="K32" s="12"/>
      <c r="L32" s="11"/>
      <c r="M32" s="11"/>
      <c r="N32" s="11"/>
      <c r="O32" s="11"/>
      <c r="P32" s="11"/>
      <c r="Q32" s="11"/>
      <c r="R32" s="12"/>
      <c r="S32" s="11"/>
      <c r="T32" s="11"/>
      <c r="U32" s="11" t="s">
        <v>29</v>
      </c>
      <c r="V32" s="12" t="s">
        <v>29</v>
      </c>
      <c r="W32" s="11" t="s">
        <v>29</v>
      </c>
      <c r="X32" s="11" t="s">
        <v>29</v>
      </c>
      <c r="Y32" s="11" t="s">
        <v>29</v>
      </c>
      <c r="Z32" s="12"/>
      <c r="AA32" s="11" t="s">
        <v>29</v>
      </c>
    </row>
    <row r="33" spans="1:27" x14ac:dyDescent="0.35">
      <c r="A33" s="11"/>
      <c r="B33" s="12"/>
      <c r="C33" s="11"/>
      <c r="D33" s="11"/>
      <c r="E33" s="11"/>
      <c r="F33" s="12"/>
      <c r="G33" s="12"/>
      <c r="H33" s="11"/>
      <c r="I33" s="11"/>
      <c r="J33" s="11"/>
      <c r="K33" s="12"/>
      <c r="L33" s="11"/>
      <c r="M33" s="11"/>
      <c r="N33" s="11"/>
      <c r="O33" s="11"/>
      <c r="P33" s="11"/>
      <c r="Q33" s="11"/>
      <c r="R33" s="12"/>
      <c r="S33" s="11"/>
      <c r="T33" s="11"/>
      <c r="U33" s="11" t="s">
        <v>29</v>
      </c>
      <c r="V33" s="12" t="s">
        <v>29</v>
      </c>
      <c r="W33" s="11" t="s">
        <v>29</v>
      </c>
      <c r="X33" s="11" t="s">
        <v>29</v>
      </c>
      <c r="Y33" s="11" t="s">
        <v>29</v>
      </c>
      <c r="Z33" s="12"/>
      <c r="AA33" s="11" t="s">
        <v>29</v>
      </c>
    </row>
    <row r="34" spans="1:27" x14ac:dyDescent="0.35">
      <c r="A34" s="11"/>
      <c r="B34" s="12"/>
      <c r="C34" s="11"/>
      <c r="D34" s="11"/>
      <c r="E34" s="11"/>
      <c r="F34" s="12"/>
      <c r="G34" s="12"/>
      <c r="H34" s="11"/>
      <c r="I34" s="11"/>
      <c r="J34" s="11"/>
      <c r="K34" s="12"/>
      <c r="L34" s="11"/>
      <c r="M34" s="11"/>
      <c r="N34" s="11"/>
      <c r="O34" s="11"/>
      <c r="P34" s="11"/>
      <c r="Q34" s="11"/>
      <c r="R34" s="12"/>
      <c r="S34" s="11"/>
      <c r="T34" s="11"/>
      <c r="U34" s="11" t="s">
        <v>29</v>
      </c>
      <c r="V34" s="12" t="s">
        <v>29</v>
      </c>
      <c r="W34" s="11" t="s">
        <v>29</v>
      </c>
      <c r="X34" s="11" t="s">
        <v>29</v>
      </c>
      <c r="Y34" s="11" t="s">
        <v>29</v>
      </c>
      <c r="Z34" s="12"/>
      <c r="AA34" s="11" t="s">
        <v>29</v>
      </c>
    </row>
    <row r="35" spans="1:27" x14ac:dyDescent="0.35">
      <c r="A35" s="11"/>
      <c r="B35" s="12"/>
      <c r="C35" s="11"/>
      <c r="D35" s="11"/>
      <c r="E35" s="11"/>
      <c r="F35" s="12"/>
      <c r="G35" s="12"/>
      <c r="H35" s="11"/>
      <c r="I35" s="11"/>
      <c r="J35" s="11"/>
      <c r="K35" s="12"/>
      <c r="L35" s="11"/>
      <c r="M35" s="11"/>
      <c r="N35" s="11"/>
      <c r="O35" s="11"/>
      <c r="P35" s="11"/>
      <c r="Q35" s="11"/>
      <c r="R35" s="12"/>
      <c r="S35" s="11"/>
      <c r="T35" s="11"/>
      <c r="U35" s="11" t="s">
        <v>29</v>
      </c>
      <c r="V35" s="12" t="s">
        <v>29</v>
      </c>
      <c r="W35" s="11" t="s">
        <v>29</v>
      </c>
      <c r="X35" s="11" t="s">
        <v>29</v>
      </c>
      <c r="Y35" s="11" t="s">
        <v>29</v>
      </c>
      <c r="Z35" s="12"/>
      <c r="AA35" s="11" t="s">
        <v>29</v>
      </c>
    </row>
    <row r="36" spans="1:27" x14ac:dyDescent="0.35">
      <c r="A36" s="11"/>
      <c r="B36" s="12"/>
      <c r="C36" s="11"/>
      <c r="D36" s="11"/>
      <c r="E36" s="11"/>
      <c r="F36" s="12"/>
      <c r="G36" s="12"/>
      <c r="H36" s="11"/>
      <c r="I36" s="11"/>
      <c r="J36" s="11"/>
      <c r="K36" s="12"/>
      <c r="L36" s="11"/>
      <c r="M36" s="11"/>
      <c r="N36" s="11"/>
      <c r="O36" s="11"/>
      <c r="P36" s="11"/>
      <c r="Q36" s="11"/>
      <c r="R36" s="12"/>
      <c r="S36" s="11"/>
      <c r="T36" s="11"/>
      <c r="U36" s="11" t="s">
        <v>29</v>
      </c>
      <c r="V36" s="12" t="s">
        <v>29</v>
      </c>
      <c r="W36" s="11" t="s">
        <v>29</v>
      </c>
      <c r="X36" s="11" t="s">
        <v>29</v>
      </c>
      <c r="Y36" s="11" t="s">
        <v>29</v>
      </c>
      <c r="Z36" s="12"/>
      <c r="AA36" s="11" t="s">
        <v>29</v>
      </c>
    </row>
    <row r="37" spans="1:27" x14ac:dyDescent="0.35">
      <c r="A37" s="11"/>
      <c r="B37" s="12"/>
      <c r="C37" s="11"/>
      <c r="D37" s="11"/>
      <c r="E37" s="11"/>
      <c r="F37" s="12"/>
      <c r="G37" s="12"/>
      <c r="H37" s="11"/>
      <c r="I37" s="11"/>
      <c r="J37" s="11"/>
      <c r="K37" s="12"/>
      <c r="L37" s="11"/>
      <c r="M37" s="11"/>
      <c r="N37" s="11"/>
      <c r="O37" s="11"/>
      <c r="P37" s="11"/>
      <c r="Q37" s="11"/>
      <c r="R37" s="12"/>
      <c r="S37" s="11"/>
      <c r="T37" s="11"/>
      <c r="U37" s="11" t="s">
        <v>29</v>
      </c>
      <c r="V37" s="12" t="s">
        <v>29</v>
      </c>
      <c r="W37" s="11" t="s">
        <v>29</v>
      </c>
      <c r="X37" s="11" t="s">
        <v>29</v>
      </c>
      <c r="Y37" s="11" t="s">
        <v>29</v>
      </c>
      <c r="Z37" s="12"/>
      <c r="AA37" s="11" t="s">
        <v>29</v>
      </c>
    </row>
    <row r="38" spans="1:27" x14ac:dyDescent="0.35">
      <c r="A38" s="11"/>
      <c r="B38" s="12"/>
      <c r="C38" s="11"/>
      <c r="D38" s="11"/>
      <c r="E38" s="11"/>
      <c r="F38" s="12"/>
      <c r="G38" s="12"/>
      <c r="H38" s="11"/>
      <c r="I38" s="11"/>
      <c r="J38" s="11"/>
      <c r="K38" s="12"/>
      <c r="L38" s="11"/>
      <c r="M38" s="11"/>
      <c r="N38" s="11"/>
      <c r="O38" s="11"/>
      <c r="P38" s="11"/>
      <c r="Q38" s="11"/>
      <c r="R38" s="12"/>
      <c r="S38" s="11"/>
      <c r="T38" s="11"/>
      <c r="U38" s="11" t="s">
        <v>29</v>
      </c>
      <c r="V38" s="12" t="s">
        <v>29</v>
      </c>
      <c r="W38" s="11" t="s">
        <v>29</v>
      </c>
      <c r="X38" s="11" t="s">
        <v>29</v>
      </c>
      <c r="Y38" s="11" t="s">
        <v>29</v>
      </c>
      <c r="Z38" s="12"/>
      <c r="AA38" s="11" t="s">
        <v>29</v>
      </c>
    </row>
    <row r="39" spans="1:27" x14ac:dyDescent="0.35">
      <c r="A39" s="11"/>
      <c r="B39" s="12"/>
      <c r="C39" s="11"/>
      <c r="D39" s="11"/>
      <c r="E39" s="11"/>
      <c r="F39" s="12"/>
      <c r="G39" s="12"/>
      <c r="H39" s="11"/>
      <c r="I39" s="11"/>
      <c r="J39" s="11"/>
      <c r="K39" s="12"/>
      <c r="L39" s="11"/>
      <c r="M39" s="11"/>
      <c r="N39" s="11"/>
      <c r="O39" s="11"/>
      <c r="P39" s="11"/>
      <c r="Q39" s="11"/>
      <c r="R39" s="12"/>
      <c r="S39" s="11"/>
      <c r="T39" s="11"/>
      <c r="U39" s="11" t="s">
        <v>29</v>
      </c>
      <c r="V39" s="12" t="s">
        <v>29</v>
      </c>
      <c r="W39" s="11" t="s">
        <v>29</v>
      </c>
      <c r="X39" s="11" t="s">
        <v>29</v>
      </c>
      <c r="Y39" s="11" t="s">
        <v>29</v>
      </c>
      <c r="Z39" s="12"/>
      <c r="AA39" s="11" t="s">
        <v>29</v>
      </c>
    </row>
    <row r="40" spans="1:27" x14ac:dyDescent="0.35">
      <c r="A40" s="11"/>
      <c r="B40" s="12"/>
      <c r="C40" s="11"/>
      <c r="D40" s="11"/>
      <c r="E40" s="11"/>
      <c r="F40" s="12"/>
      <c r="G40" s="12"/>
      <c r="H40" s="11"/>
      <c r="I40" s="11"/>
      <c r="J40" s="11"/>
      <c r="K40" s="12"/>
      <c r="L40" s="11"/>
      <c r="M40" s="11"/>
      <c r="N40" s="11"/>
      <c r="O40" s="11"/>
      <c r="P40" s="11"/>
      <c r="Q40" s="11"/>
      <c r="R40" s="12"/>
      <c r="S40" s="11"/>
      <c r="T40" s="11"/>
      <c r="U40" s="11" t="s">
        <v>29</v>
      </c>
      <c r="V40" s="12" t="s">
        <v>29</v>
      </c>
      <c r="W40" s="11" t="s">
        <v>29</v>
      </c>
      <c r="X40" s="11" t="s">
        <v>29</v>
      </c>
      <c r="Y40" s="11" t="s">
        <v>29</v>
      </c>
      <c r="Z40" s="12"/>
      <c r="AA40" s="11" t="s">
        <v>29</v>
      </c>
    </row>
    <row r="41" spans="1:27" x14ac:dyDescent="0.35">
      <c r="A41" s="11"/>
      <c r="B41" s="12"/>
      <c r="C41" s="11"/>
      <c r="D41" s="11"/>
      <c r="E41" s="11"/>
      <c r="F41" s="12"/>
      <c r="G41" s="12"/>
      <c r="H41" s="11"/>
      <c r="I41" s="11"/>
      <c r="J41" s="11"/>
      <c r="K41" s="12"/>
      <c r="L41" s="11"/>
      <c r="M41" s="11"/>
      <c r="N41" s="11"/>
      <c r="O41" s="11"/>
      <c r="P41" s="11"/>
      <c r="Q41" s="11"/>
      <c r="R41" s="12"/>
      <c r="S41" s="11"/>
      <c r="T41" s="11"/>
      <c r="U41" s="11" t="s">
        <v>29</v>
      </c>
      <c r="V41" s="12" t="s">
        <v>29</v>
      </c>
      <c r="W41" s="11" t="s">
        <v>29</v>
      </c>
      <c r="X41" s="11" t="s">
        <v>29</v>
      </c>
      <c r="Y41" s="11" t="s">
        <v>29</v>
      </c>
      <c r="Z41" s="12"/>
      <c r="AA41" s="11" t="s">
        <v>29</v>
      </c>
    </row>
    <row r="42" spans="1:27" x14ac:dyDescent="0.35">
      <c r="A42" s="11"/>
      <c r="B42" s="12"/>
      <c r="C42" s="11"/>
      <c r="D42" s="11"/>
      <c r="E42" s="11"/>
      <c r="F42" s="12"/>
      <c r="G42" s="12"/>
      <c r="H42" s="11"/>
      <c r="I42" s="11"/>
      <c r="J42" s="11"/>
      <c r="K42" s="12"/>
      <c r="L42" s="11"/>
      <c r="M42" s="11"/>
      <c r="N42" s="11"/>
      <c r="O42" s="11"/>
      <c r="P42" s="11"/>
      <c r="Q42" s="11"/>
      <c r="R42" s="12"/>
      <c r="S42" s="11"/>
      <c r="T42" s="11"/>
      <c r="U42" s="11" t="s">
        <v>29</v>
      </c>
      <c r="V42" s="12" t="s">
        <v>29</v>
      </c>
      <c r="W42" s="11" t="s">
        <v>29</v>
      </c>
      <c r="X42" s="11" t="s">
        <v>29</v>
      </c>
      <c r="Y42" s="11" t="s">
        <v>29</v>
      </c>
      <c r="Z42" s="12"/>
      <c r="AA42" s="11" t="s">
        <v>29</v>
      </c>
    </row>
    <row r="43" spans="1:27" x14ac:dyDescent="0.35">
      <c r="A43" s="11"/>
      <c r="B43" s="12"/>
      <c r="C43" s="11"/>
      <c r="D43" s="11"/>
      <c r="E43" s="11"/>
      <c r="F43" s="12"/>
      <c r="G43" s="12"/>
      <c r="H43" s="11"/>
      <c r="I43" s="11"/>
      <c r="J43" s="11"/>
      <c r="K43" s="12"/>
      <c r="L43" s="11"/>
      <c r="M43" s="11"/>
      <c r="N43" s="11"/>
      <c r="O43" s="11"/>
      <c r="P43" s="11"/>
      <c r="Q43" s="11"/>
      <c r="R43" s="12"/>
      <c r="S43" s="11"/>
      <c r="T43" s="11"/>
      <c r="U43" s="11" t="s">
        <v>29</v>
      </c>
      <c r="V43" s="12" t="s">
        <v>29</v>
      </c>
      <c r="W43" s="11" t="s">
        <v>29</v>
      </c>
      <c r="X43" s="11" t="s">
        <v>29</v>
      </c>
      <c r="Y43" s="11" t="s">
        <v>29</v>
      </c>
      <c r="Z43" s="12"/>
      <c r="AA43" s="11" t="s">
        <v>29</v>
      </c>
    </row>
    <row r="44" spans="1:27" x14ac:dyDescent="0.35">
      <c r="A44" s="11"/>
      <c r="B44" s="12"/>
      <c r="C44" s="11"/>
      <c r="D44" s="11"/>
      <c r="E44" s="11"/>
      <c r="F44" s="12"/>
      <c r="G44" s="12"/>
      <c r="H44" s="11"/>
      <c r="I44" s="11"/>
      <c r="J44" s="11"/>
      <c r="K44" s="12"/>
      <c r="L44" s="11"/>
      <c r="M44" s="11"/>
      <c r="N44" s="11"/>
      <c r="O44" s="11"/>
      <c r="P44" s="11"/>
      <c r="Q44" s="11"/>
      <c r="R44" s="12"/>
      <c r="S44" s="11"/>
      <c r="T44" s="11"/>
      <c r="U44" s="11" t="s">
        <v>29</v>
      </c>
      <c r="V44" s="12" t="s">
        <v>29</v>
      </c>
      <c r="W44" s="11" t="s">
        <v>29</v>
      </c>
      <c r="X44" s="11" t="s">
        <v>29</v>
      </c>
      <c r="Y44" s="11" t="s">
        <v>29</v>
      </c>
      <c r="Z44" s="12"/>
      <c r="AA44" s="11" t="s">
        <v>29</v>
      </c>
    </row>
    <row r="45" spans="1:27" x14ac:dyDescent="0.35">
      <c r="A45" s="11"/>
      <c r="B45" s="12"/>
      <c r="C45" s="11"/>
      <c r="D45" s="11"/>
      <c r="E45" s="11"/>
      <c r="F45" s="12"/>
      <c r="G45" s="12"/>
      <c r="H45" s="11"/>
      <c r="I45" s="11"/>
      <c r="J45" s="11"/>
      <c r="K45" s="12"/>
      <c r="L45" s="11"/>
      <c r="M45" s="11"/>
      <c r="N45" s="11"/>
      <c r="O45" s="11"/>
      <c r="P45" s="11"/>
      <c r="Q45" s="11"/>
      <c r="R45" s="12"/>
      <c r="S45" s="11"/>
      <c r="T45" s="11"/>
      <c r="U45" s="11" t="s">
        <v>29</v>
      </c>
      <c r="V45" s="12" t="s">
        <v>29</v>
      </c>
      <c r="W45" s="11" t="s">
        <v>29</v>
      </c>
      <c r="X45" s="11" t="s">
        <v>29</v>
      </c>
      <c r="Y45" s="11" t="s">
        <v>29</v>
      </c>
      <c r="Z45" s="12"/>
      <c r="AA45" s="11" t="s">
        <v>29</v>
      </c>
    </row>
    <row r="46" spans="1:27" x14ac:dyDescent="0.35">
      <c r="A46" s="11"/>
      <c r="B46" s="12"/>
      <c r="C46" s="11"/>
      <c r="D46" s="11"/>
      <c r="E46" s="11"/>
      <c r="F46" s="12"/>
      <c r="G46" s="12"/>
      <c r="H46" s="11"/>
      <c r="I46" s="11"/>
      <c r="J46" s="11"/>
      <c r="K46" s="12"/>
      <c r="L46" s="11"/>
      <c r="M46" s="11"/>
      <c r="N46" s="11"/>
      <c r="O46" s="11"/>
      <c r="P46" s="11"/>
      <c r="Q46" s="11"/>
      <c r="R46" s="12"/>
      <c r="S46" s="11"/>
      <c r="T46" s="11"/>
      <c r="U46" s="11" t="s">
        <v>29</v>
      </c>
      <c r="V46" s="12" t="s">
        <v>29</v>
      </c>
      <c r="W46" s="11" t="s">
        <v>29</v>
      </c>
      <c r="X46" s="11" t="s">
        <v>29</v>
      </c>
      <c r="Y46" s="11" t="s">
        <v>29</v>
      </c>
      <c r="Z46" s="12"/>
      <c r="AA46" s="11" t="s">
        <v>29</v>
      </c>
    </row>
    <row r="47" spans="1:27" x14ac:dyDescent="0.35">
      <c r="A47" s="11"/>
      <c r="B47" s="12"/>
      <c r="C47" s="11"/>
      <c r="D47" s="11"/>
      <c r="E47" s="11"/>
      <c r="F47" s="12"/>
      <c r="G47" s="12"/>
      <c r="H47" s="11"/>
      <c r="I47" s="11"/>
      <c r="J47" s="11"/>
      <c r="K47" s="12"/>
      <c r="L47" s="11"/>
      <c r="M47" s="11"/>
      <c r="N47" s="11"/>
      <c r="O47" s="11"/>
      <c r="P47" s="11"/>
      <c r="Q47" s="11"/>
      <c r="R47" s="12"/>
      <c r="S47" s="11"/>
      <c r="T47" s="11"/>
      <c r="U47" s="11" t="s">
        <v>29</v>
      </c>
      <c r="V47" s="12" t="s">
        <v>29</v>
      </c>
      <c r="W47" s="11" t="s">
        <v>29</v>
      </c>
      <c r="X47" s="11" t="s">
        <v>29</v>
      </c>
      <c r="Y47" s="11" t="s">
        <v>29</v>
      </c>
      <c r="Z47" s="12"/>
      <c r="AA47" s="11" t="s">
        <v>29</v>
      </c>
    </row>
    <row r="48" spans="1:27" x14ac:dyDescent="0.35">
      <c r="A48" s="11"/>
      <c r="B48" s="12"/>
      <c r="C48" s="11"/>
      <c r="D48" s="11"/>
      <c r="E48" s="11"/>
      <c r="F48" s="12"/>
      <c r="G48" s="12"/>
      <c r="H48" s="11"/>
      <c r="I48" s="11"/>
      <c r="J48" s="11"/>
      <c r="K48" s="12"/>
      <c r="L48" s="11"/>
      <c r="M48" s="11"/>
      <c r="N48" s="11"/>
      <c r="O48" s="11"/>
      <c r="P48" s="11"/>
      <c r="Q48" s="11"/>
      <c r="R48" s="12"/>
      <c r="S48" s="11"/>
      <c r="T48" s="11"/>
      <c r="U48" s="11" t="s">
        <v>29</v>
      </c>
      <c r="V48" s="12" t="s">
        <v>29</v>
      </c>
      <c r="W48" s="11" t="s">
        <v>29</v>
      </c>
      <c r="X48" s="11" t="s">
        <v>29</v>
      </c>
      <c r="Y48" s="11" t="s">
        <v>29</v>
      </c>
      <c r="Z48" s="12"/>
      <c r="AA48" s="11" t="s">
        <v>29</v>
      </c>
    </row>
    <row r="49" spans="1:27" x14ac:dyDescent="0.35">
      <c r="A49" s="11"/>
      <c r="B49" s="12"/>
      <c r="C49" s="11"/>
      <c r="D49" s="11"/>
      <c r="E49" s="11"/>
      <c r="F49" s="12"/>
      <c r="G49" s="12"/>
      <c r="H49" s="11"/>
      <c r="I49" s="11"/>
      <c r="J49" s="11"/>
      <c r="K49" s="12"/>
      <c r="L49" s="11"/>
      <c r="M49" s="11"/>
      <c r="N49" s="11"/>
      <c r="O49" s="11"/>
      <c r="P49" s="11"/>
      <c r="Q49" s="11"/>
      <c r="R49" s="12"/>
      <c r="S49" s="11"/>
      <c r="T49" s="11"/>
      <c r="U49" s="11" t="s">
        <v>29</v>
      </c>
      <c r="V49" s="12" t="s">
        <v>29</v>
      </c>
      <c r="W49" s="11" t="s">
        <v>29</v>
      </c>
      <c r="X49" s="11" t="s">
        <v>29</v>
      </c>
      <c r="Y49" s="11" t="s">
        <v>29</v>
      </c>
      <c r="Z49" s="12"/>
      <c r="AA49" s="11" t="s">
        <v>29</v>
      </c>
    </row>
    <row r="50" spans="1:27" x14ac:dyDescent="0.35">
      <c r="A50" s="11"/>
      <c r="B50" s="12"/>
      <c r="C50" s="11"/>
      <c r="D50" s="11"/>
      <c r="E50" s="11"/>
      <c r="F50" s="12"/>
      <c r="G50" s="12"/>
      <c r="H50" s="11"/>
      <c r="I50" s="11"/>
      <c r="J50" s="11"/>
      <c r="K50" s="12"/>
      <c r="L50" s="11"/>
      <c r="M50" s="11"/>
      <c r="N50" s="11"/>
      <c r="O50" s="11"/>
      <c r="P50" s="11"/>
      <c r="Q50" s="11"/>
      <c r="R50" s="12"/>
      <c r="S50" s="11"/>
      <c r="T50" s="11"/>
      <c r="U50" s="11" t="s">
        <v>29</v>
      </c>
      <c r="V50" s="12" t="s">
        <v>29</v>
      </c>
      <c r="W50" s="11" t="s">
        <v>29</v>
      </c>
      <c r="X50" s="11" t="s">
        <v>29</v>
      </c>
      <c r="Y50" s="11" t="s">
        <v>29</v>
      </c>
      <c r="Z50" s="12"/>
      <c r="AA50" s="11" t="s">
        <v>29</v>
      </c>
    </row>
    <row r="51" spans="1:27" x14ac:dyDescent="0.35">
      <c r="A51" s="11"/>
      <c r="B51" s="12"/>
      <c r="C51" s="11"/>
      <c r="D51" s="11"/>
      <c r="E51" s="11"/>
      <c r="F51" s="12"/>
      <c r="G51" s="12"/>
      <c r="H51" s="11"/>
      <c r="I51" s="11"/>
      <c r="J51" s="11"/>
      <c r="K51" s="12"/>
      <c r="L51" s="11"/>
      <c r="M51" s="11"/>
      <c r="N51" s="11"/>
      <c r="O51" s="11"/>
      <c r="P51" s="11"/>
      <c r="Q51" s="11"/>
      <c r="R51" s="12"/>
      <c r="S51" s="11"/>
      <c r="T51" s="11"/>
      <c r="U51" s="11" t="s">
        <v>29</v>
      </c>
      <c r="V51" s="12" t="s">
        <v>29</v>
      </c>
      <c r="W51" s="11" t="s">
        <v>29</v>
      </c>
      <c r="X51" s="11" t="s">
        <v>29</v>
      </c>
      <c r="Y51" s="11" t="s">
        <v>29</v>
      </c>
      <c r="Z51" s="12"/>
      <c r="AA51" s="11" t="s">
        <v>29</v>
      </c>
    </row>
    <row r="52" spans="1:27" x14ac:dyDescent="0.35">
      <c r="A52" s="11"/>
      <c r="B52" s="12"/>
      <c r="C52" s="11"/>
      <c r="D52" s="11"/>
      <c r="E52" s="11"/>
      <c r="F52" s="12"/>
      <c r="G52" s="12"/>
      <c r="H52" s="11"/>
      <c r="I52" s="11"/>
      <c r="J52" s="11"/>
      <c r="K52" s="12"/>
      <c r="L52" s="11"/>
      <c r="M52" s="11"/>
      <c r="N52" s="11"/>
      <c r="O52" s="11"/>
      <c r="P52" s="11"/>
      <c r="Q52" s="11"/>
      <c r="R52" s="12"/>
      <c r="S52" s="11"/>
      <c r="T52" s="11"/>
      <c r="U52" s="11" t="s">
        <v>29</v>
      </c>
      <c r="V52" s="12" t="s">
        <v>29</v>
      </c>
      <c r="W52" s="11" t="s">
        <v>29</v>
      </c>
      <c r="X52" s="11" t="s">
        <v>29</v>
      </c>
      <c r="Y52" s="11" t="s">
        <v>29</v>
      </c>
      <c r="Z52" s="12"/>
      <c r="AA52" s="11" t="s">
        <v>29</v>
      </c>
    </row>
    <row r="53" spans="1:27" x14ac:dyDescent="0.35">
      <c r="A53" s="11"/>
      <c r="B53" s="12"/>
      <c r="C53" s="11"/>
      <c r="D53" s="11"/>
      <c r="E53" s="11"/>
      <c r="F53" s="12"/>
      <c r="G53" s="12"/>
      <c r="H53" s="11"/>
      <c r="I53" s="11"/>
      <c r="J53" s="11"/>
      <c r="K53" s="12"/>
      <c r="L53" s="11"/>
      <c r="M53" s="11"/>
      <c r="N53" s="11"/>
      <c r="O53" s="11"/>
      <c r="P53" s="11"/>
      <c r="Q53" s="11"/>
      <c r="R53" s="12"/>
      <c r="S53" s="11"/>
      <c r="T53" s="11"/>
      <c r="U53" s="11" t="s">
        <v>29</v>
      </c>
      <c r="V53" s="12" t="s">
        <v>29</v>
      </c>
      <c r="W53" s="11" t="s">
        <v>29</v>
      </c>
      <c r="X53" s="11" t="s">
        <v>29</v>
      </c>
      <c r="Y53" s="11" t="s">
        <v>29</v>
      </c>
      <c r="Z53" s="12"/>
      <c r="AA53" s="11" t="s">
        <v>29</v>
      </c>
    </row>
    <row r="54" spans="1:27" x14ac:dyDescent="0.35">
      <c r="A54" s="11"/>
      <c r="B54" s="12"/>
      <c r="C54" s="11"/>
      <c r="D54" s="11"/>
      <c r="E54" s="11"/>
      <c r="F54" s="12"/>
      <c r="G54" s="12"/>
      <c r="H54" s="11"/>
      <c r="I54" s="11"/>
      <c r="J54" s="11"/>
      <c r="K54" s="12"/>
      <c r="L54" s="11"/>
      <c r="M54" s="11"/>
      <c r="N54" s="11"/>
      <c r="O54" s="11"/>
      <c r="P54" s="11"/>
      <c r="Q54" s="11"/>
      <c r="R54" s="12"/>
      <c r="S54" s="11"/>
      <c r="T54" s="11"/>
      <c r="U54" s="11" t="s">
        <v>29</v>
      </c>
      <c r="V54" s="12" t="s">
        <v>29</v>
      </c>
      <c r="W54" s="11" t="s">
        <v>29</v>
      </c>
      <c r="X54" s="11" t="s">
        <v>29</v>
      </c>
      <c r="Y54" s="11" t="s">
        <v>29</v>
      </c>
      <c r="Z54" s="12"/>
      <c r="AA54" s="11" t="s">
        <v>29</v>
      </c>
    </row>
    <row r="55" spans="1:27" x14ac:dyDescent="0.35">
      <c r="A55" s="11"/>
      <c r="B55" s="12"/>
      <c r="C55" s="11"/>
      <c r="D55" s="11"/>
      <c r="E55" s="11"/>
      <c r="F55" s="12"/>
      <c r="G55" s="12"/>
      <c r="H55" s="11"/>
      <c r="I55" s="11"/>
      <c r="J55" s="11"/>
      <c r="K55" s="12"/>
      <c r="L55" s="11"/>
      <c r="M55" s="11"/>
      <c r="N55" s="11"/>
      <c r="O55" s="11"/>
      <c r="P55" s="11"/>
      <c r="Q55" s="11"/>
      <c r="R55" s="12"/>
      <c r="S55" s="11"/>
      <c r="T55" s="11"/>
      <c r="U55" s="11" t="s">
        <v>29</v>
      </c>
      <c r="V55" s="12" t="s">
        <v>29</v>
      </c>
      <c r="W55" s="11" t="s">
        <v>29</v>
      </c>
      <c r="X55" s="11" t="s">
        <v>29</v>
      </c>
      <c r="Y55" s="11" t="s">
        <v>29</v>
      </c>
      <c r="Z55" s="12"/>
      <c r="AA55" s="11" t="s">
        <v>29</v>
      </c>
    </row>
    <row r="56" spans="1:27" x14ac:dyDescent="0.35">
      <c r="A56" s="11"/>
      <c r="B56" s="12"/>
      <c r="C56" s="11"/>
      <c r="D56" s="11"/>
      <c r="E56" s="11"/>
      <c r="F56" s="12"/>
      <c r="G56" s="12"/>
      <c r="H56" s="11"/>
      <c r="I56" s="11"/>
      <c r="J56" s="11"/>
      <c r="K56" s="12"/>
      <c r="L56" s="11"/>
      <c r="M56" s="11"/>
      <c r="N56" s="11"/>
      <c r="O56" s="11"/>
      <c r="P56" s="11"/>
      <c r="Q56" s="11"/>
      <c r="R56" s="12"/>
      <c r="S56" s="11"/>
      <c r="T56" s="11"/>
      <c r="U56" s="11" t="s">
        <v>29</v>
      </c>
      <c r="V56" s="12" t="s">
        <v>29</v>
      </c>
      <c r="W56" s="11" t="s">
        <v>29</v>
      </c>
      <c r="X56" s="11" t="s">
        <v>29</v>
      </c>
      <c r="Y56" s="11" t="s">
        <v>29</v>
      </c>
      <c r="Z56" s="12"/>
      <c r="AA56" s="11" t="s">
        <v>29</v>
      </c>
    </row>
    <row r="57" spans="1:27" x14ac:dyDescent="0.35">
      <c r="A57" s="11"/>
      <c r="B57" s="12"/>
      <c r="C57" s="11"/>
      <c r="D57" s="11"/>
      <c r="E57" s="11"/>
      <c r="F57" s="12"/>
      <c r="G57" s="12"/>
      <c r="H57" s="11"/>
      <c r="I57" s="11"/>
      <c r="J57" s="11"/>
      <c r="K57" s="12"/>
      <c r="L57" s="11"/>
      <c r="M57" s="11"/>
      <c r="N57" s="11"/>
      <c r="O57" s="11"/>
      <c r="P57" s="11"/>
      <c r="Q57" s="11"/>
      <c r="R57" s="12"/>
      <c r="S57" s="11"/>
      <c r="T57" s="11"/>
      <c r="U57" s="11" t="s">
        <v>29</v>
      </c>
      <c r="V57" s="12" t="s">
        <v>29</v>
      </c>
      <c r="W57" s="11" t="s">
        <v>29</v>
      </c>
      <c r="X57" s="11" t="s">
        <v>29</v>
      </c>
      <c r="Y57" s="11" t="s">
        <v>29</v>
      </c>
      <c r="Z57" s="12"/>
      <c r="AA57" s="11" t="s">
        <v>29</v>
      </c>
    </row>
    <row r="58" spans="1:27" x14ac:dyDescent="0.35">
      <c r="A58" s="11"/>
      <c r="B58" s="12"/>
      <c r="C58" s="11"/>
      <c r="D58" s="11"/>
      <c r="E58" s="11"/>
      <c r="F58" s="12"/>
      <c r="G58" s="12"/>
      <c r="H58" s="11"/>
      <c r="I58" s="11"/>
      <c r="J58" s="11"/>
      <c r="K58" s="12"/>
      <c r="L58" s="11"/>
      <c r="M58" s="11"/>
      <c r="N58" s="11"/>
      <c r="O58" s="11"/>
      <c r="P58" s="11"/>
      <c r="Q58" s="11"/>
      <c r="R58" s="12"/>
      <c r="S58" s="11"/>
      <c r="T58" s="11"/>
      <c r="U58" s="11" t="s">
        <v>29</v>
      </c>
      <c r="V58" s="12" t="s">
        <v>29</v>
      </c>
      <c r="W58" s="11" t="s">
        <v>29</v>
      </c>
      <c r="X58" s="11" t="s">
        <v>29</v>
      </c>
      <c r="Y58" s="11" t="s">
        <v>29</v>
      </c>
      <c r="Z58" s="12"/>
      <c r="AA58" s="11" t="s">
        <v>29</v>
      </c>
    </row>
    <row r="59" spans="1:27" x14ac:dyDescent="0.35">
      <c r="A59" s="11"/>
      <c r="B59" s="12"/>
      <c r="C59" s="11"/>
      <c r="D59" s="11"/>
      <c r="E59" s="11"/>
      <c r="F59" s="12"/>
      <c r="G59" s="12"/>
      <c r="H59" s="11"/>
      <c r="I59" s="11"/>
      <c r="J59" s="11"/>
      <c r="K59" s="12"/>
      <c r="L59" s="11"/>
      <c r="M59" s="11"/>
      <c r="N59" s="11"/>
      <c r="O59" s="11"/>
      <c r="P59" s="11"/>
      <c r="Q59" s="11"/>
      <c r="R59" s="12"/>
      <c r="S59" s="11"/>
      <c r="T59" s="11"/>
      <c r="U59" s="11" t="s">
        <v>29</v>
      </c>
      <c r="V59" s="12" t="s">
        <v>29</v>
      </c>
      <c r="W59" s="11" t="s">
        <v>29</v>
      </c>
      <c r="X59" s="11" t="s">
        <v>29</v>
      </c>
      <c r="Y59" s="11" t="s">
        <v>29</v>
      </c>
      <c r="Z59" s="12"/>
      <c r="AA59" s="11" t="s">
        <v>29</v>
      </c>
    </row>
    <row r="60" spans="1:27" x14ac:dyDescent="0.35">
      <c r="A60" s="11"/>
      <c r="B60" s="12"/>
      <c r="C60" s="11"/>
      <c r="D60" s="11"/>
      <c r="E60" s="11"/>
      <c r="F60" s="12"/>
      <c r="G60" s="12"/>
      <c r="H60" s="11"/>
      <c r="I60" s="11"/>
      <c r="J60" s="11"/>
      <c r="K60" s="12"/>
      <c r="L60" s="11"/>
      <c r="M60" s="11"/>
      <c r="N60" s="11"/>
      <c r="O60" s="11"/>
      <c r="P60" s="11"/>
      <c r="Q60" s="11"/>
      <c r="R60" s="12"/>
      <c r="S60" s="11"/>
      <c r="T60" s="11"/>
      <c r="U60" s="11" t="s">
        <v>29</v>
      </c>
      <c r="V60" s="12" t="s">
        <v>29</v>
      </c>
      <c r="W60" s="11" t="s">
        <v>29</v>
      </c>
      <c r="X60" s="11" t="s">
        <v>29</v>
      </c>
      <c r="Y60" s="11" t="s">
        <v>29</v>
      </c>
      <c r="Z60" s="12"/>
      <c r="AA60" s="11" t="s">
        <v>29</v>
      </c>
    </row>
    <row r="61" spans="1:27" x14ac:dyDescent="0.35">
      <c r="A61" s="11"/>
      <c r="B61" s="12"/>
      <c r="C61" s="11"/>
      <c r="D61" s="11"/>
      <c r="E61" s="11"/>
      <c r="F61" s="12"/>
      <c r="G61" s="12"/>
      <c r="H61" s="11"/>
      <c r="I61" s="11"/>
      <c r="J61" s="11"/>
      <c r="K61" s="12"/>
      <c r="L61" s="11"/>
      <c r="M61" s="11"/>
      <c r="N61" s="11"/>
      <c r="O61" s="11"/>
      <c r="P61" s="11"/>
      <c r="Q61" s="11"/>
      <c r="R61" s="12"/>
      <c r="S61" s="11"/>
      <c r="T61" s="11"/>
      <c r="U61" s="11" t="s">
        <v>29</v>
      </c>
      <c r="V61" s="12" t="s">
        <v>29</v>
      </c>
      <c r="W61" s="11" t="s">
        <v>29</v>
      </c>
      <c r="X61" s="11" t="s">
        <v>29</v>
      </c>
      <c r="Y61" s="11" t="s">
        <v>29</v>
      </c>
      <c r="Z61" s="12"/>
      <c r="AA61" s="11" t="s">
        <v>29</v>
      </c>
    </row>
    <row r="62" spans="1:27" x14ac:dyDescent="0.35">
      <c r="A62" s="11"/>
      <c r="B62" s="12"/>
      <c r="C62" s="11"/>
      <c r="D62" s="11"/>
      <c r="E62" s="11"/>
      <c r="F62" s="12"/>
      <c r="G62" s="12"/>
      <c r="H62" s="11"/>
      <c r="I62" s="11"/>
      <c r="J62" s="11"/>
      <c r="K62" s="12"/>
      <c r="L62" s="11"/>
      <c r="M62" s="11"/>
      <c r="N62" s="11"/>
      <c r="O62" s="11"/>
      <c r="P62" s="11"/>
      <c r="Q62" s="11"/>
      <c r="R62" s="12"/>
      <c r="S62" s="11"/>
      <c r="T62" s="11"/>
      <c r="U62" s="11" t="s">
        <v>29</v>
      </c>
      <c r="V62" s="12" t="s">
        <v>29</v>
      </c>
      <c r="W62" s="11" t="s">
        <v>29</v>
      </c>
      <c r="X62" s="11" t="s">
        <v>29</v>
      </c>
      <c r="Y62" s="11" t="s">
        <v>29</v>
      </c>
      <c r="Z62" s="12"/>
      <c r="AA62" s="11" t="s">
        <v>29</v>
      </c>
    </row>
    <row r="63" spans="1:27" x14ac:dyDescent="0.35">
      <c r="A63" s="11"/>
      <c r="B63" s="12"/>
      <c r="C63" s="11"/>
      <c r="D63" s="11"/>
      <c r="E63" s="11"/>
      <c r="F63" s="12"/>
      <c r="G63" s="12"/>
      <c r="H63" s="11"/>
      <c r="I63" s="11"/>
      <c r="J63" s="11"/>
      <c r="K63" s="12"/>
      <c r="L63" s="11"/>
      <c r="M63" s="11"/>
      <c r="N63" s="11"/>
      <c r="O63" s="11"/>
      <c r="P63" s="11"/>
      <c r="Q63" s="11"/>
      <c r="R63" s="12"/>
      <c r="S63" s="11"/>
      <c r="T63" s="11"/>
      <c r="U63" s="11" t="s">
        <v>29</v>
      </c>
      <c r="V63" s="12" t="s">
        <v>29</v>
      </c>
      <c r="W63" s="11" t="s">
        <v>29</v>
      </c>
      <c r="X63" s="11" t="s">
        <v>29</v>
      </c>
      <c r="Y63" s="11" t="s">
        <v>29</v>
      </c>
      <c r="Z63" s="12"/>
      <c r="AA63" s="11" t="s">
        <v>29</v>
      </c>
    </row>
    <row r="64" spans="1:27" x14ac:dyDescent="0.35">
      <c r="A64" s="11"/>
      <c r="B64" s="12"/>
      <c r="C64" s="11"/>
      <c r="D64" s="11"/>
      <c r="E64" s="11"/>
      <c r="F64" s="12"/>
      <c r="G64" s="12"/>
      <c r="H64" s="11"/>
      <c r="I64" s="11"/>
      <c r="J64" s="11"/>
      <c r="K64" s="12"/>
      <c r="L64" s="11"/>
      <c r="M64" s="11"/>
      <c r="N64" s="11"/>
      <c r="O64" s="11"/>
      <c r="P64" s="11"/>
      <c r="Q64" s="11"/>
      <c r="R64" s="12"/>
      <c r="S64" s="11"/>
      <c r="T64" s="11"/>
      <c r="U64" s="11" t="s">
        <v>29</v>
      </c>
      <c r="V64" s="12" t="s">
        <v>29</v>
      </c>
      <c r="W64" s="11" t="s">
        <v>29</v>
      </c>
      <c r="X64" s="11" t="s">
        <v>29</v>
      </c>
      <c r="Y64" s="11" t="s">
        <v>29</v>
      </c>
      <c r="Z64" s="12"/>
      <c r="AA64" s="11" t="s">
        <v>29</v>
      </c>
    </row>
    <row r="65" spans="1:27" x14ac:dyDescent="0.35">
      <c r="A65" s="11"/>
      <c r="B65" s="12"/>
      <c r="C65" s="11"/>
      <c r="D65" s="11"/>
      <c r="E65" s="11"/>
      <c r="F65" s="12"/>
      <c r="G65" s="12"/>
      <c r="H65" s="11"/>
      <c r="I65" s="11"/>
      <c r="J65" s="11"/>
      <c r="K65" s="12"/>
      <c r="L65" s="11"/>
      <c r="M65" s="11"/>
      <c r="N65" s="11"/>
      <c r="O65" s="11"/>
      <c r="P65" s="11"/>
      <c r="Q65" s="11"/>
      <c r="R65" s="12"/>
      <c r="S65" s="11"/>
      <c r="T65" s="11"/>
      <c r="U65" s="11" t="s">
        <v>29</v>
      </c>
      <c r="V65" s="12" t="s">
        <v>29</v>
      </c>
      <c r="W65" s="11" t="s">
        <v>29</v>
      </c>
      <c r="X65" s="11" t="s">
        <v>29</v>
      </c>
      <c r="Y65" s="11" t="s">
        <v>29</v>
      </c>
      <c r="Z65" s="12"/>
      <c r="AA65" s="11" t="s">
        <v>29</v>
      </c>
    </row>
    <row r="66" spans="1:27" x14ac:dyDescent="0.35">
      <c r="A66" s="11"/>
      <c r="B66" s="12"/>
      <c r="C66" s="11"/>
      <c r="D66" s="11"/>
      <c r="E66" s="11"/>
      <c r="F66" s="12"/>
      <c r="G66" s="12"/>
      <c r="H66" s="11"/>
      <c r="I66" s="11"/>
      <c r="J66" s="11"/>
      <c r="K66" s="12"/>
      <c r="L66" s="11"/>
      <c r="M66" s="11"/>
      <c r="N66" s="11"/>
      <c r="O66" s="11"/>
      <c r="P66" s="11"/>
      <c r="Q66" s="11"/>
      <c r="R66" s="12"/>
      <c r="S66" s="11"/>
      <c r="T66" s="11"/>
      <c r="U66" s="11" t="s">
        <v>29</v>
      </c>
      <c r="V66" s="12" t="s">
        <v>29</v>
      </c>
      <c r="W66" s="11" t="s">
        <v>29</v>
      </c>
      <c r="X66" s="11" t="s">
        <v>29</v>
      </c>
      <c r="Y66" s="11" t="s">
        <v>29</v>
      </c>
      <c r="Z66" s="12"/>
      <c r="AA66" s="11" t="s">
        <v>29</v>
      </c>
    </row>
    <row r="67" spans="1:27" x14ac:dyDescent="0.35">
      <c r="A67" s="11"/>
      <c r="B67" s="12"/>
      <c r="C67" s="11"/>
      <c r="D67" s="11"/>
      <c r="E67" s="11"/>
      <c r="F67" s="12"/>
      <c r="G67" s="12"/>
      <c r="H67" s="11"/>
      <c r="I67" s="11"/>
      <c r="J67" s="11"/>
      <c r="K67" s="12"/>
      <c r="L67" s="11"/>
      <c r="M67" s="11"/>
      <c r="N67" s="11"/>
      <c r="O67" s="11"/>
      <c r="P67" s="11"/>
      <c r="Q67" s="11"/>
      <c r="R67" s="12"/>
      <c r="S67" s="11"/>
      <c r="T67" s="11"/>
      <c r="U67" s="11" t="s">
        <v>29</v>
      </c>
      <c r="V67" s="12" t="s">
        <v>29</v>
      </c>
      <c r="W67" s="11" t="s">
        <v>29</v>
      </c>
      <c r="X67" s="11" t="s">
        <v>29</v>
      </c>
      <c r="Y67" s="11" t="s">
        <v>29</v>
      </c>
      <c r="Z67" s="12"/>
      <c r="AA67" s="11" t="s">
        <v>29</v>
      </c>
    </row>
    <row r="68" spans="1:27" x14ac:dyDescent="0.35">
      <c r="A68" s="11"/>
      <c r="B68" s="12"/>
      <c r="C68" s="11"/>
      <c r="D68" s="11"/>
      <c r="E68" s="11"/>
      <c r="F68" s="12"/>
      <c r="G68" s="12"/>
      <c r="H68" s="11"/>
      <c r="I68" s="11"/>
      <c r="J68" s="11"/>
      <c r="K68" s="12"/>
      <c r="L68" s="11"/>
      <c r="M68" s="11"/>
      <c r="N68" s="11"/>
      <c r="O68" s="11"/>
      <c r="P68" s="11"/>
      <c r="Q68" s="11"/>
      <c r="R68" s="12"/>
      <c r="S68" s="11"/>
      <c r="T68" s="11"/>
      <c r="U68" s="11" t="s">
        <v>29</v>
      </c>
      <c r="V68" s="12" t="s">
        <v>29</v>
      </c>
      <c r="W68" s="11" t="s">
        <v>29</v>
      </c>
      <c r="X68" s="11" t="s">
        <v>29</v>
      </c>
      <c r="Y68" s="11" t="s">
        <v>29</v>
      </c>
      <c r="Z68" s="12"/>
      <c r="AA68" s="11" t="s">
        <v>29</v>
      </c>
    </row>
    <row r="69" spans="1:27" x14ac:dyDescent="0.35">
      <c r="A69" s="11"/>
      <c r="B69" s="12"/>
      <c r="C69" s="11"/>
      <c r="D69" s="11"/>
      <c r="E69" s="11"/>
      <c r="F69" s="12"/>
      <c r="G69" s="12"/>
      <c r="H69" s="11"/>
      <c r="I69" s="11"/>
      <c r="J69" s="11"/>
      <c r="K69" s="12"/>
      <c r="L69" s="11"/>
      <c r="M69" s="11"/>
      <c r="N69" s="11"/>
      <c r="O69" s="11"/>
      <c r="P69" s="11"/>
      <c r="Q69" s="11"/>
      <c r="R69" s="12"/>
      <c r="S69" s="11"/>
      <c r="T69" s="11"/>
      <c r="U69" s="11" t="s">
        <v>29</v>
      </c>
      <c r="V69" s="12" t="s">
        <v>29</v>
      </c>
      <c r="W69" s="11" t="s">
        <v>29</v>
      </c>
      <c r="X69" s="11" t="s">
        <v>29</v>
      </c>
      <c r="Y69" s="11" t="s">
        <v>29</v>
      </c>
      <c r="Z69" s="12"/>
      <c r="AA69" s="11" t="s">
        <v>29</v>
      </c>
    </row>
    <row r="70" spans="1:27" x14ac:dyDescent="0.35">
      <c r="A70" s="11"/>
      <c r="B70" s="12"/>
      <c r="C70" s="11"/>
      <c r="D70" s="11"/>
      <c r="E70" s="11"/>
      <c r="F70" s="12"/>
      <c r="G70" s="12"/>
      <c r="H70" s="11"/>
      <c r="I70" s="11"/>
      <c r="J70" s="11"/>
      <c r="K70" s="12"/>
      <c r="L70" s="11"/>
      <c r="M70" s="11"/>
      <c r="N70" s="11"/>
      <c r="O70" s="11"/>
      <c r="P70" s="11"/>
      <c r="Q70" s="11"/>
      <c r="R70" s="12"/>
      <c r="S70" s="11"/>
      <c r="T70" s="11"/>
      <c r="U70" s="11" t="s">
        <v>29</v>
      </c>
      <c r="V70" s="12" t="s">
        <v>29</v>
      </c>
      <c r="W70" s="11" t="s">
        <v>29</v>
      </c>
      <c r="X70" s="11" t="s">
        <v>29</v>
      </c>
      <c r="Y70" s="11" t="s">
        <v>29</v>
      </c>
      <c r="Z70" s="12"/>
      <c r="AA70" s="11" t="s">
        <v>29</v>
      </c>
    </row>
    <row r="71" spans="1:27" x14ac:dyDescent="0.35">
      <c r="A71" s="11"/>
      <c r="B71" s="12"/>
      <c r="C71" s="11"/>
      <c r="D71" s="11"/>
      <c r="E71" s="11"/>
      <c r="F71" s="12"/>
      <c r="G71" s="12"/>
      <c r="H71" s="11"/>
      <c r="I71" s="11"/>
      <c r="J71" s="11"/>
      <c r="K71" s="12"/>
      <c r="L71" s="11"/>
      <c r="M71" s="11"/>
      <c r="N71" s="11"/>
      <c r="O71" s="11"/>
      <c r="P71" s="11"/>
      <c r="Q71" s="11"/>
      <c r="R71" s="12"/>
      <c r="S71" s="11"/>
      <c r="T71" s="11"/>
      <c r="U71" s="11" t="s">
        <v>29</v>
      </c>
      <c r="V71" s="12" t="s">
        <v>29</v>
      </c>
      <c r="W71" s="11" t="s">
        <v>29</v>
      </c>
      <c r="X71" s="11" t="s">
        <v>29</v>
      </c>
      <c r="Y71" s="11" t="s">
        <v>29</v>
      </c>
      <c r="Z71" s="12"/>
      <c r="AA71" s="11" t="s">
        <v>29</v>
      </c>
    </row>
    <row r="72" spans="1:27" x14ac:dyDescent="0.35">
      <c r="A72" s="11"/>
      <c r="B72" s="12"/>
      <c r="C72" s="11"/>
      <c r="D72" s="11"/>
      <c r="E72" s="11"/>
      <c r="F72" s="12"/>
      <c r="G72" s="12"/>
      <c r="H72" s="11"/>
      <c r="I72" s="11"/>
      <c r="J72" s="11"/>
      <c r="K72" s="12"/>
      <c r="L72" s="11"/>
      <c r="M72" s="11"/>
      <c r="N72" s="11"/>
      <c r="O72" s="11"/>
      <c r="P72" s="11"/>
      <c r="Q72" s="11"/>
      <c r="R72" s="12"/>
      <c r="S72" s="11"/>
      <c r="T72" s="11"/>
      <c r="U72" s="11" t="s">
        <v>29</v>
      </c>
      <c r="V72" s="12" t="s">
        <v>29</v>
      </c>
      <c r="W72" s="11" t="s">
        <v>29</v>
      </c>
      <c r="X72" s="11" t="s">
        <v>29</v>
      </c>
      <c r="Y72" s="11" t="s">
        <v>29</v>
      </c>
      <c r="Z72" s="12"/>
      <c r="AA72" s="11" t="s">
        <v>29</v>
      </c>
    </row>
    <row r="73" spans="1:27" x14ac:dyDescent="0.35">
      <c r="A73" s="11"/>
      <c r="B73" s="12"/>
      <c r="C73" s="11"/>
      <c r="D73" s="11"/>
      <c r="E73" s="11"/>
      <c r="F73" s="12"/>
      <c r="G73" s="12"/>
      <c r="H73" s="11"/>
      <c r="I73" s="11"/>
      <c r="J73" s="11"/>
      <c r="K73" s="12"/>
      <c r="L73" s="11"/>
      <c r="M73" s="11"/>
      <c r="N73" s="11"/>
      <c r="O73" s="11"/>
      <c r="P73" s="11"/>
      <c r="Q73" s="11"/>
      <c r="R73" s="12"/>
      <c r="S73" s="11"/>
      <c r="T73" s="11"/>
      <c r="U73" s="11" t="s">
        <v>29</v>
      </c>
      <c r="V73" s="12" t="s">
        <v>29</v>
      </c>
      <c r="W73" s="11" t="s">
        <v>29</v>
      </c>
      <c r="X73" s="11" t="s">
        <v>29</v>
      </c>
      <c r="Y73" s="11" t="s">
        <v>29</v>
      </c>
      <c r="Z73" s="12"/>
      <c r="AA73" s="11" t="s">
        <v>29</v>
      </c>
    </row>
    <row r="74" spans="1:27" x14ac:dyDescent="0.35">
      <c r="A74" s="11"/>
      <c r="B74" s="12"/>
      <c r="C74" s="11"/>
      <c r="D74" s="11"/>
      <c r="E74" s="11"/>
      <c r="F74" s="12"/>
      <c r="G74" s="12"/>
      <c r="H74" s="11"/>
      <c r="I74" s="11"/>
      <c r="J74" s="11"/>
      <c r="K74" s="12"/>
      <c r="L74" s="11"/>
      <c r="M74" s="11"/>
      <c r="N74" s="11"/>
      <c r="O74" s="11"/>
      <c r="P74" s="11"/>
      <c r="Q74" s="11"/>
      <c r="R74" s="12"/>
      <c r="S74" s="11"/>
      <c r="T74" s="11"/>
      <c r="U74" s="11" t="s">
        <v>29</v>
      </c>
      <c r="V74" s="12" t="s">
        <v>29</v>
      </c>
      <c r="W74" s="11" t="s">
        <v>29</v>
      </c>
      <c r="X74" s="11" t="s">
        <v>29</v>
      </c>
      <c r="Y74" s="11" t="s">
        <v>29</v>
      </c>
      <c r="Z74" s="12"/>
      <c r="AA74" s="11" t="s">
        <v>29</v>
      </c>
    </row>
    <row r="75" spans="1:27" x14ac:dyDescent="0.35">
      <c r="A75" s="11"/>
      <c r="B75" s="12"/>
      <c r="C75" s="11"/>
      <c r="D75" s="11"/>
      <c r="E75" s="11"/>
      <c r="F75" s="12"/>
      <c r="G75" s="12"/>
      <c r="H75" s="11"/>
      <c r="I75" s="11"/>
      <c r="J75" s="11"/>
      <c r="K75" s="12"/>
      <c r="L75" s="11"/>
      <c r="M75" s="11"/>
      <c r="N75" s="11"/>
      <c r="O75" s="11"/>
      <c r="P75" s="11"/>
      <c r="Q75" s="11"/>
      <c r="R75" s="12"/>
      <c r="S75" s="11"/>
      <c r="T75" s="11"/>
      <c r="U75" s="11" t="s">
        <v>29</v>
      </c>
      <c r="V75" s="12" t="s">
        <v>29</v>
      </c>
      <c r="W75" s="11" t="s">
        <v>29</v>
      </c>
      <c r="X75" s="11" t="s">
        <v>29</v>
      </c>
      <c r="Y75" s="11" t="s">
        <v>29</v>
      </c>
      <c r="Z75" s="12"/>
      <c r="AA75" s="11" t="s">
        <v>29</v>
      </c>
    </row>
    <row r="76" spans="1:27" x14ac:dyDescent="0.35">
      <c r="A76" s="11"/>
      <c r="B76" s="12"/>
      <c r="C76" s="11"/>
      <c r="D76" s="11"/>
      <c r="E76" s="11"/>
      <c r="F76" s="12"/>
      <c r="G76" s="12"/>
      <c r="H76" s="11"/>
      <c r="I76" s="11"/>
      <c r="J76" s="11"/>
      <c r="K76" s="12"/>
      <c r="L76" s="11"/>
      <c r="M76" s="11"/>
      <c r="N76" s="11"/>
      <c r="O76" s="11"/>
      <c r="P76" s="11"/>
      <c r="Q76" s="11"/>
      <c r="R76" s="12"/>
      <c r="S76" s="11"/>
      <c r="T76" s="11"/>
      <c r="U76" s="11" t="s">
        <v>29</v>
      </c>
      <c r="V76" s="12" t="s">
        <v>29</v>
      </c>
      <c r="W76" s="11" t="s">
        <v>29</v>
      </c>
      <c r="X76" s="11" t="s">
        <v>29</v>
      </c>
      <c r="Y76" s="11" t="s">
        <v>29</v>
      </c>
      <c r="Z76" s="12"/>
      <c r="AA76" s="11" t="s">
        <v>29</v>
      </c>
    </row>
    <row r="77" spans="1:27" x14ac:dyDescent="0.35">
      <c r="A77" s="11"/>
      <c r="B77" s="12"/>
      <c r="C77" s="11"/>
      <c r="D77" s="11"/>
      <c r="E77" s="11"/>
      <c r="F77" s="12"/>
      <c r="G77" s="12"/>
      <c r="H77" s="11"/>
      <c r="I77" s="11"/>
      <c r="J77" s="11"/>
      <c r="K77" s="12"/>
      <c r="L77" s="11"/>
      <c r="M77" s="11"/>
      <c r="N77" s="11"/>
      <c r="O77" s="11"/>
      <c r="P77" s="11"/>
      <c r="Q77" s="11"/>
      <c r="R77" s="12"/>
      <c r="S77" s="11"/>
      <c r="T77" s="11"/>
      <c r="U77" s="11" t="s">
        <v>29</v>
      </c>
      <c r="V77" s="12" t="s">
        <v>29</v>
      </c>
      <c r="W77" s="11" t="s">
        <v>29</v>
      </c>
      <c r="X77" s="11" t="s">
        <v>29</v>
      </c>
      <c r="Y77" s="11" t="s">
        <v>29</v>
      </c>
      <c r="Z77" s="12"/>
      <c r="AA77" s="11" t="s">
        <v>29</v>
      </c>
    </row>
    <row r="78" spans="1:27" x14ac:dyDescent="0.35">
      <c r="A78" s="11"/>
      <c r="B78" s="12"/>
      <c r="C78" s="11"/>
      <c r="D78" s="11"/>
      <c r="E78" s="11"/>
      <c r="F78" s="12"/>
      <c r="G78" s="12"/>
      <c r="H78" s="11"/>
      <c r="I78" s="11"/>
      <c r="J78" s="11"/>
      <c r="K78" s="12"/>
      <c r="L78" s="11"/>
      <c r="M78" s="11"/>
      <c r="N78" s="11"/>
      <c r="O78" s="11"/>
      <c r="P78" s="11"/>
      <c r="Q78" s="11"/>
      <c r="R78" s="12"/>
      <c r="S78" s="11"/>
      <c r="T78" s="11"/>
      <c r="U78" s="11" t="s">
        <v>29</v>
      </c>
      <c r="V78" s="12" t="s">
        <v>29</v>
      </c>
      <c r="W78" s="11" t="s">
        <v>29</v>
      </c>
      <c r="X78" s="11" t="s">
        <v>29</v>
      </c>
      <c r="Y78" s="11" t="s">
        <v>29</v>
      </c>
      <c r="Z78" s="12"/>
      <c r="AA78" s="11" t="s">
        <v>29</v>
      </c>
    </row>
    <row r="79" spans="1:27" x14ac:dyDescent="0.35">
      <c r="A79" s="11"/>
      <c r="B79" s="12"/>
      <c r="C79" s="11"/>
      <c r="D79" s="11"/>
      <c r="E79" s="11"/>
      <c r="F79" s="12"/>
      <c r="G79" s="12"/>
      <c r="H79" s="11"/>
      <c r="I79" s="11"/>
      <c r="J79" s="11"/>
      <c r="K79" s="12"/>
      <c r="L79" s="11"/>
      <c r="M79" s="11"/>
      <c r="N79" s="11"/>
      <c r="O79" s="11"/>
      <c r="P79" s="11"/>
      <c r="Q79" s="11"/>
      <c r="R79" s="12"/>
      <c r="S79" s="11"/>
      <c r="T79" s="11"/>
      <c r="U79" s="11" t="s">
        <v>29</v>
      </c>
      <c r="V79" s="12" t="s">
        <v>29</v>
      </c>
      <c r="W79" s="11" t="s">
        <v>29</v>
      </c>
      <c r="X79" s="11" t="s">
        <v>29</v>
      </c>
      <c r="Y79" s="11" t="s">
        <v>29</v>
      </c>
      <c r="Z79" s="12"/>
      <c r="AA79" s="11" t="s">
        <v>29</v>
      </c>
    </row>
    <row r="80" spans="1:27" x14ac:dyDescent="0.35">
      <c r="A80" s="11"/>
      <c r="B80" s="12"/>
      <c r="C80" s="11"/>
      <c r="D80" s="11"/>
      <c r="E80" s="11"/>
      <c r="F80" s="12"/>
      <c r="G80" s="12"/>
      <c r="H80" s="11"/>
      <c r="I80" s="11"/>
      <c r="J80" s="11"/>
      <c r="K80" s="12"/>
      <c r="L80" s="11"/>
      <c r="M80" s="11"/>
      <c r="N80" s="11"/>
      <c r="O80" s="11"/>
      <c r="P80" s="11"/>
      <c r="Q80" s="11"/>
      <c r="R80" s="12"/>
      <c r="S80" s="11"/>
      <c r="T80" s="11"/>
      <c r="U80" s="11" t="s">
        <v>29</v>
      </c>
      <c r="V80" s="12" t="s">
        <v>29</v>
      </c>
      <c r="W80" s="11" t="s">
        <v>29</v>
      </c>
      <c r="X80" s="11" t="s">
        <v>29</v>
      </c>
      <c r="Y80" s="11" t="s">
        <v>29</v>
      </c>
      <c r="Z80" s="12"/>
      <c r="AA80" s="11" t="s">
        <v>29</v>
      </c>
    </row>
    <row r="81" spans="1:27" x14ac:dyDescent="0.35">
      <c r="A81" s="11"/>
      <c r="B81" s="12"/>
      <c r="C81" s="11"/>
      <c r="D81" s="11"/>
      <c r="E81" s="11"/>
      <c r="F81" s="12"/>
      <c r="G81" s="12"/>
      <c r="H81" s="11"/>
      <c r="I81" s="11"/>
      <c r="J81" s="11"/>
      <c r="K81" s="12"/>
      <c r="L81" s="11"/>
      <c r="M81" s="11"/>
      <c r="N81" s="11"/>
      <c r="O81" s="11"/>
      <c r="P81" s="11"/>
      <c r="Q81" s="11"/>
      <c r="R81" s="12"/>
      <c r="S81" s="11"/>
      <c r="T81" s="11"/>
      <c r="U81" s="11" t="s">
        <v>29</v>
      </c>
      <c r="V81" s="12" t="s">
        <v>29</v>
      </c>
      <c r="W81" s="11" t="s">
        <v>29</v>
      </c>
      <c r="X81" s="11" t="s">
        <v>29</v>
      </c>
      <c r="Y81" s="11" t="s">
        <v>29</v>
      </c>
      <c r="Z81" s="12"/>
      <c r="AA81" s="11" t="s">
        <v>29</v>
      </c>
    </row>
    <row r="82" spans="1:27" x14ac:dyDescent="0.35">
      <c r="A82" s="11"/>
      <c r="B82" s="12"/>
      <c r="C82" s="11"/>
      <c r="D82" s="11"/>
      <c r="E82" s="11"/>
      <c r="F82" s="12"/>
      <c r="G82" s="12"/>
      <c r="H82" s="11"/>
      <c r="I82" s="11"/>
      <c r="J82" s="11"/>
      <c r="K82" s="12"/>
      <c r="L82" s="11"/>
      <c r="M82" s="11"/>
      <c r="N82" s="11"/>
      <c r="O82" s="11"/>
      <c r="P82" s="11"/>
      <c r="Q82" s="11"/>
      <c r="R82" s="12"/>
      <c r="S82" s="11"/>
      <c r="T82" s="11"/>
      <c r="U82" s="11" t="s">
        <v>29</v>
      </c>
      <c r="V82" s="12" t="s">
        <v>29</v>
      </c>
      <c r="W82" s="11" t="s">
        <v>29</v>
      </c>
      <c r="X82" s="11" t="s">
        <v>29</v>
      </c>
      <c r="Y82" s="11" t="s">
        <v>29</v>
      </c>
      <c r="Z82" s="12"/>
      <c r="AA82" s="11" t="s">
        <v>29</v>
      </c>
    </row>
    <row r="83" spans="1:27" x14ac:dyDescent="0.35">
      <c r="A83" s="11"/>
      <c r="B83" s="12"/>
      <c r="C83" s="11"/>
      <c r="D83" s="11"/>
      <c r="E83" s="11"/>
      <c r="F83" s="12"/>
      <c r="G83" s="12"/>
      <c r="H83" s="11"/>
      <c r="I83" s="11"/>
      <c r="J83" s="11"/>
      <c r="K83" s="12"/>
      <c r="L83" s="11"/>
      <c r="M83" s="11"/>
      <c r="N83" s="11"/>
      <c r="O83" s="11"/>
      <c r="P83" s="11"/>
      <c r="Q83" s="11"/>
      <c r="R83" s="12"/>
      <c r="S83" s="11"/>
      <c r="T83" s="11"/>
      <c r="U83" s="11" t="s">
        <v>29</v>
      </c>
      <c r="V83" s="12" t="s">
        <v>29</v>
      </c>
      <c r="W83" s="11" t="s">
        <v>29</v>
      </c>
      <c r="X83" s="11" t="s">
        <v>29</v>
      </c>
      <c r="Y83" s="11" t="s">
        <v>29</v>
      </c>
      <c r="Z83" s="12"/>
      <c r="AA83" s="11" t="s">
        <v>29</v>
      </c>
    </row>
    <row r="84" spans="1:27" x14ac:dyDescent="0.35">
      <c r="A84" s="11"/>
      <c r="B84" s="12"/>
      <c r="C84" s="11"/>
      <c r="D84" s="11"/>
      <c r="E84" s="11"/>
      <c r="F84" s="12"/>
      <c r="G84" s="12"/>
      <c r="H84" s="11"/>
      <c r="I84" s="11"/>
      <c r="J84" s="11"/>
      <c r="K84" s="12"/>
      <c r="L84" s="11"/>
      <c r="M84" s="11"/>
      <c r="N84" s="11"/>
      <c r="O84" s="11"/>
      <c r="P84" s="11"/>
      <c r="Q84" s="11"/>
      <c r="R84" s="12"/>
      <c r="S84" s="11"/>
      <c r="T84" s="11"/>
      <c r="U84" s="11" t="s">
        <v>29</v>
      </c>
      <c r="V84" s="12" t="s">
        <v>29</v>
      </c>
      <c r="W84" s="11" t="s">
        <v>29</v>
      </c>
      <c r="X84" s="11" t="s">
        <v>29</v>
      </c>
      <c r="Y84" s="11" t="s">
        <v>29</v>
      </c>
      <c r="Z84" s="12"/>
      <c r="AA84" s="11" t="s">
        <v>29</v>
      </c>
    </row>
    <row r="85" spans="1:27" x14ac:dyDescent="0.35">
      <c r="A85" s="11"/>
      <c r="B85" s="12"/>
      <c r="C85" s="11"/>
      <c r="D85" s="11"/>
      <c r="E85" s="11"/>
      <c r="F85" s="12"/>
      <c r="G85" s="12"/>
      <c r="H85" s="11"/>
      <c r="I85" s="11"/>
      <c r="J85" s="11"/>
      <c r="K85" s="12"/>
      <c r="L85" s="11"/>
      <c r="M85" s="11"/>
      <c r="N85" s="11"/>
      <c r="O85" s="11"/>
      <c r="P85" s="11"/>
      <c r="Q85" s="11"/>
      <c r="R85" s="12"/>
      <c r="S85" s="11"/>
      <c r="T85" s="11"/>
      <c r="U85" s="11" t="s">
        <v>29</v>
      </c>
      <c r="V85" s="12" t="s">
        <v>29</v>
      </c>
      <c r="W85" s="11" t="s">
        <v>29</v>
      </c>
      <c r="X85" s="11" t="s">
        <v>29</v>
      </c>
      <c r="Y85" s="11" t="s">
        <v>29</v>
      </c>
      <c r="Z85" s="12"/>
      <c r="AA85" s="11" t="s">
        <v>29</v>
      </c>
    </row>
    <row r="86" spans="1:27" x14ac:dyDescent="0.35">
      <c r="A86" s="11"/>
      <c r="B86" s="12"/>
      <c r="C86" s="11"/>
      <c r="D86" s="11"/>
      <c r="E86" s="11"/>
      <c r="F86" s="12"/>
      <c r="G86" s="12"/>
      <c r="H86" s="11"/>
      <c r="I86" s="11"/>
      <c r="J86" s="11"/>
      <c r="K86" s="12"/>
      <c r="L86" s="11"/>
      <c r="M86" s="11"/>
      <c r="N86" s="11"/>
      <c r="O86" s="11"/>
      <c r="P86" s="11"/>
      <c r="Q86" s="11"/>
      <c r="R86" s="12"/>
      <c r="S86" s="11"/>
      <c r="T86" s="11"/>
      <c r="U86" s="11" t="s">
        <v>29</v>
      </c>
      <c r="V86" s="12" t="s">
        <v>29</v>
      </c>
      <c r="W86" s="11" t="s">
        <v>29</v>
      </c>
      <c r="X86" s="11" t="s">
        <v>29</v>
      </c>
      <c r="Y86" s="11" t="s">
        <v>29</v>
      </c>
      <c r="Z86" s="12"/>
      <c r="AA86" s="11" t="s">
        <v>29</v>
      </c>
    </row>
    <row r="87" spans="1:27" x14ac:dyDescent="0.35">
      <c r="A87" s="11"/>
      <c r="B87" s="12"/>
      <c r="C87" s="11"/>
      <c r="D87" s="11"/>
      <c r="E87" s="11"/>
      <c r="F87" s="12"/>
      <c r="G87" s="12"/>
      <c r="H87" s="11"/>
      <c r="I87" s="11"/>
      <c r="J87" s="11"/>
      <c r="K87" s="12"/>
      <c r="L87" s="11"/>
      <c r="M87" s="11"/>
      <c r="N87" s="11"/>
      <c r="O87" s="11"/>
      <c r="P87" s="11"/>
      <c r="Q87" s="11"/>
      <c r="R87" s="12"/>
      <c r="S87" s="11"/>
      <c r="T87" s="11"/>
      <c r="U87" s="11" t="s">
        <v>29</v>
      </c>
      <c r="V87" s="12" t="s">
        <v>29</v>
      </c>
      <c r="W87" s="11" t="s">
        <v>29</v>
      </c>
      <c r="X87" s="11" t="s">
        <v>29</v>
      </c>
      <c r="Y87" s="11" t="s">
        <v>29</v>
      </c>
      <c r="Z87" s="12"/>
      <c r="AA87" s="11" t="s">
        <v>29</v>
      </c>
    </row>
    <row r="88" spans="1:27" x14ac:dyDescent="0.35">
      <c r="A88" s="11"/>
      <c r="B88" s="12"/>
      <c r="C88" s="11"/>
      <c r="D88" s="11"/>
      <c r="E88" s="11"/>
      <c r="F88" s="12"/>
      <c r="G88" s="12"/>
      <c r="H88" s="11"/>
      <c r="I88" s="11"/>
      <c r="J88" s="11"/>
      <c r="K88" s="12"/>
      <c r="L88" s="11"/>
      <c r="M88" s="11"/>
      <c r="N88" s="11"/>
      <c r="O88" s="11"/>
      <c r="P88" s="11"/>
      <c r="Q88" s="11"/>
      <c r="R88" s="12"/>
      <c r="S88" s="11"/>
      <c r="T88" s="11"/>
      <c r="U88" s="11" t="s">
        <v>29</v>
      </c>
      <c r="V88" s="12" t="s">
        <v>29</v>
      </c>
      <c r="W88" s="11" t="s">
        <v>29</v>
      </c>
      <c r="X88" s="11" t="s">
        <v>29</v>
      </c>
      <c r="Y88" s="11" t="s">
        <v>29</v>
      </c>
      <c r="Z88" s="12"/>
      <c r="AA88" s="11" t="s">
        <v>29</v>
      </c>
    </row>
    <row r="89" spans="1:27" x14ac:dyDescent="0.35">
      <c r="A89" s="11"/>
      <c r="B89" s="12"/>
      <c r="C89" s="11"/>
      <c r="D89" s="11"/>
      <c r="E89" s="11"/>
      <c r="F89" s="12"/>
      <c r="G89" s="12"/>
      <c r="H89" s="11"/>
      <c r="I89" s="11"/>
      <c r="J89" s="11"/>
      <c r="K89" s="12"/>
      <c r="L89" s="11"/>
      <c r="M89" s="11"/>
      <c r="N89" s="11"/>
      <c r="O89" s="11"/>
      <c r="P89" s="11"/>
      <c r="Q89" s="11"/>
      <c r="R89" s="12"/>
      <c r="S89" s="11"/>
      <c r="T89" s="11"/>
      <c r="U89" s="11" t="s">
        <v>29</v>
      </c>
      <c r="V89" s="12" t="s">
        <v>29</v>
      </c>
      <c r="W89" s="11" t="s">
        <v>29</v>
      </c>
      <c r="X89" s="11" t="s">
        <v>29</v>
      </c>
      <c r="Y89" s="11" t="s">
        <v>29</v>
      </c>
      <c r="Z89" s="12"/>
      <c r="AA89" s="11" t="s">
        <v>29</v>
      </c>
    </row>
    <row r="90" spans="1:27" x14ac:dyDescent="0.35">
      <c r="A90" s="11"/>
      <c r="B90" s="12"/>
      <c r="C90" s="11"/>
      <c r="D90" s="11"/>
      <c r="E90" s="11"/>
      <c r="F90" s="12"/>
      <c r="G90" s="12"/>
      <c r="H90" s="11"/>
      <c r="I90" s="11"/>
      <c r="J90" s="11"/>
      <c r="K90" s="12"/>
      <c r="L90" s="11"/>
      <c r="M90" s="11"/>
      <c r="N90" s="11"/>
      <c r="O90" s="11"/>
      <c r="P90" s="11"/>
      <c r="Q90" s="11"/>
      <c r="R90" s="12"/>
      <c r="S90" s="11"/>
      <c r="T90" s="11"/>
      <c r="U90" s="11" t="s">
        <v>29</v>
      </c>
      <c r="V90" s="12" t="s">
        <v>29</v>
      </c>
      <c r="W90" s="11" t="s">
        <v>29</v>
      </c>
      <c r="X90" s="11" t="s">
        <v>29</v>
      </c>
      <c r="Y90" s="11" t="s">
        <v>29</v>
      </c>
      <c r="Z90" s="12"/>
      <c r="AA90" s="11" t="s">
        <v>29</v>
      </c>
    </row>
    <row r="91" spans="1:27" x14ac:dyDescent="0.35">
      <c r="A91" s="11"/>
      <c r="B91" s="12"/>
      <c r="C91" s="11"/>
      <c r="D91" s="11"/>
      <c r="E91" s="11"/>
      <c r="F91" s="12"/>
      <c r="G91" s="12"/>
      <c r="H91" s="11"/>
      <c r="I91" s="11"/>
      <c r="J91" s="11"/>
      <c r="K91" s="12"/>
      <c r="L91" s="11"/>
      <c r="M91" s="11"/>
      <c r="N91" s="11"/>
      <c r="O91" s="11"/>
      <c r="P91" s="11"/>
      <c r="Q91" s="11"/>
      <c r="R91" s="12"/>
      <c r="S91" s="11"/>
      <c r="T91" s="11"/>
      <c r="U91" s="11" t="s">
        <v>29</v>
      </c>
      <c r="V91" s="12" t="s">
        <v>29</v>
      </c>
      <c r="W91" s="11" t="s">
        <v>29</v>
      </c>
      <c r="X91" s="11" t="s">
        <v>29</v>
      </c>
      <c r="Y91" s="11" t="s">
        <v>29</v>
      </c>
      <c r="Z91" s="12"/>
      <c r="AA91" s="11" t="s">
        <v>29</v>
      </c>
    </row>
    <row r="92" spans="1:27" x14ac:dyDescent="0.35">
      <c r="A92" s="11"/>
      <c r="B92" s="12"/>
      <c r="C92" s="11"/>
      <c r="D92" s="11"/>
      <c r="E92" s="11"/>
      <c r="F92" s="12"/>
      <c r="G92" s="12"/>
      <c r="H92" s="11"/>
      <c r="I92" s="11"/>
      <c r="J92" s="11"/>
      <c r="K92" s="12"/>
      <c r="L92" s="11"/>
      <c r="M92" s="11"/>
      <c r="N92" s="11"/>
      <c r="O92" s="11"/>
      <c r="P92" s="11"/>
      <c r="Q92" s="11"/>
      <c r="R92" s="12"/>
      <c r="S92" s="11"/>
      <c r="T92" s="11"/>
      <c r="U92" s="11" t="s">
        <v>29</v>
      </c>
      <c r="V92" s="12" t="s">
        <v>29</v>
      </c>
      <c r="W92" s="11" t="s">
        <v>29</v>
      </c>
      <c r="X92" s="11" t="s">
        <v>29</v>
      </c>
      <c r="Y92" s="11" t="s">
        <v>29</v>
      </c>
      <c r="Z92" s="12"/>
      <c r="AA92" s="11" t="s">
        <v>29</v>
      </c>
    </row>
    <row r="93" spans="1:27" x14ac:dyDescent="0.35">
      <c r="A93" s="11"/>
      <c r="B93" s="12"/>
      <c r="C93" s="11"/>
      <c r="D93" s="11"/>
      <c r="E93" s="11"/>
      <c r="F93" s="12"/>
      <c r="G93" s="12"/>
      <c r="H93" s="11"/>
      <c r="I93" s="11"/>
      <c r="J93" s="11"/>
      <c r="K93" s="12"/>
      <c r="L93" s="11"/>
      <c r="M93" s="11"/>
      <c r="N93" s="11"/>
      <c r="O93" s="11"/>
      <c r="P93" s="11"/>
      <c r="Q93" s="11"/>
      <c r="R93" s="12"/>
      <c r="S93" s="11"/>
      <c r="T93" s="11"/>
      <c r="U93" s="11" t="s">
        <v>29</v>
      </c>
      <c r="V93" s="12" t="s">
        <v>29</v>
      </c>
      <c r="W93" s="11" t="s">
        <v>29</v>
      </c>
      <c r="X93" s="11" t="s">
        <v>29</v>
      </c>
      <c r="Y93" s="11" t="s">
        <v>29</v>
      </c>
      <c r="Z93" s="12"/>
      <c r="AA93" s="11" t="s">
        <v>29</v>
      </c>
    </row>
    <row r="94" spans="1:27" x14ac:dyDescent="0.35">
      <c r="A94" s="11"/>
      <c r="B94" s="12"/>
      <c r="C94" s="11"/>
      <c r="D94" s="11"/>
      <c r="E94" s="11"/>
      <c r="F94" s="12"/>
      <c r="G94" s="12"/>
      <c r="H94" s="11"/>
      <c r="I94" s="11"/>
      <c r="J94" s="11"/>
      <c r="K94" s="12"/>
      <c r="L94" s="11"/>
      <c r="M94" s="11"/>
      <c r="N94" s="11"/>
      <c r="O94" s="11"/>
      <c r="P94" s="11"/>
      <c r="Q94" s="11"/>
      <c r="R94" s="12"/>
      <c r="S94" s="11"/>
      <c r="T94" s="11"/>
      <c r="U94" s="11" t="s">
        <v>29</v>
      </c>
      <c r="V94" s="12" t="s">
        <v>29</v>
      </c>
      <c r="W94" s="11" t="s">
        <v>29</v>
      </c>
      <c r="X94" s="11" t="s">
        <v>29</v>
      </c>
      <c r="Y94" s="11" t="s">
        <v>29</v>
      </c>
      <c r="Z94" s="12"/>
      <c r="AA94" s="11" t="s">
        <v>29</v>
      </c>
    </row>
    <row r="95" spans="1:27" x14ac:dyDescent="0.35">
      <c r="A95" s="11"/>
      <c r="B95" s="12"/>
      <c r="C95" s="11"/>
      <c r="D95" s="11"/>
      <c r="E95" s="11"/>
      <c r="F95" s="12"/>
      <c r="G95" s="12"/>
      <c r="H95" s="11"/>
      <c r="I95" s="11"/>
      <c r="J95" s="11"/>
      <c r="K95" s="12"/>
      <c r="L95" s="11"/>
      <c r="M95" s="11"/>
      <c r="N95" s="11"/>
      <c r="O95" s="11"/>
      <c r="P95" s="11"/>
      <c r="Q95" s="11"/>
      <c r="R95" s="12"/>
      <c r="S95" s="11"/>
      <c r="T95" s="11"/>
      <c r="U95" s="11" t="s">
        <v>29</v>
      </c>
      <c r="V95" s="12" t="s">
        <v>29</v>
      </c>
      <c r="W95" s="11" t="s">
        <v>29</v>
      </c>
      <c r="X95" s="11" t="s">
        <v>29</v>
      </c>
      <c r="Y95" s="11" t="s">
        <v>29</v>
      </c>
      <c r="Z95" s="12"/>
      <c r="AA95" s="11" t="s">
        <v>29</v>
      </c>
    </row>
    <row r="96" spans="1:27" x14ac:dyDescent="0.35">
      <c r="A96" s="11"/>
      <c r="B96" s="12"/>
      <c r="C96" s="11"/>
      <c r="D96" s="11"/>
      <c r="E96" s="11"/>
      <c r="F96" s="12"/>
      <c r="G96" s="12"/>
      <c r="H96" s="11"/>
      <c r="I96" s="11"/>
      <c r="J96" s="11"/>
      <c r="K96" s="12"/>
      <c r="L96" s="11"/>
      <c r="M96" s="11"/>
      <c r="N96" s="11"/>
      <c r="O96" s="11"/>
      <c r="P96" s="11"/>
      <c r="Q96" s="11"/>
      <c r="R96" s="12"/>
      <c r="S96" s="11"/>
      <c r="T96" s="11"/>
      <c r="U96" s="11" t="s">
        <v>29</v>
      </c>
      <c r="V96" s="12" t="s">
        <v>29</v>
      </c>
      <c r="W96" s="11" t="s">
        <v>29</v>
      </c>
      <c r="X96" s="11" t="s">
        <v>29</v>
      </c>
      <c r="Y96" s="11" t="s">
        <v>29</v>
      </c>
      <c r="Z96" s="12"/>
      <c r="AA96" s="11" t="s">
        <v>29</v>
      </c>
    </row>
    <row r="97" spans="1:27" x14ac:dyDescent="0.35">
      <c r="A97" s="11"/>
      <c r="B97" s="12"/>
      <c r="C97" s="11"/>
      <c r="D97" s="11"/>
      <c r="E97" s="11"/>
      <c r="F97" s="12"/>
      <c r="G97" s="12"/>
      <c r="H97" s="11"/>
      <c r="I97" s="11"/>
      <c r="J97" s="11"/>
      <c r="K97" s="12"/>
      <c r="L97" s="11"/>
      <c r="M97" s="11"/>
      <c r="N97" s="11"/>
      <c r="O97" s="11"/>
      <c r="P97" s="11"/>
      <c r="Q97" s="11"/>
      <c r="R97" s="12"/>
      <c r="S97" s="11"/>
      <c r="T97" s="11"/>
      <c r="U97" s="11" t="s">
        <v>29</v>
      </c>
      <c r="V97" s="12" t="s">
        <v>29</v>
      </c>
      <c r="W97" s="11" t="s">
        <v>29</v>
      </c>
      <c r="X97" s="11" t="s">
        <v>29</v>
      </c>
      <c r="Y97" s="11" t="s">
        <v>29</v>
      </c>
      <c r="Z97" s="12"/>
      <c r="AA97" s="11" t="s">
        <v>29</v>
      </c>
    </row>
    <row r="98" spans="1:27" x14ac:dyDescent="0.35">
      <c r="A98" s="11"/>
      <c r="B98" s="12"/>
      <c r="C98" s="11"/>
      <c r="D98" s="11"/>
      <c r="E98" s="11"/>
      <c r="F98" s="12"/>
      <c r="G98" s="12"/>
      <c r="H98" s="11"/>
      <c r="I98" s="11"/>
      <c r="J98" s="11"/>
      <c r="K98" s="12"/>
      <c r="L98" s="11"/>
      <c r="M98" s="11"/>
      <c r="N98" s="11"/>
      <c r="O98" s="11"/>
      <c r="P98" s="11"/>
      <c r="Q98" s="11"/>
      <c r="R98" s="12"/>
      <c r="S98" s="11"/>
      <c r="T98" s="11"/>
      <c r="U98" s="11" t="s">
        <v>29</v>
      </c>
      <c r="V98" s="12" t="s">
        <v>29</v>
      </c>
      <c r="W98" s="11" t="s">
        <v>29</v>
      </c>
      <c r="X98" s="11" t="s">
        <v>29</v>
      </c>
      <c r="Y98" s="11" t="s">
        <v>29</v>
      </c>
      <c r="Z98" s="12"/>
      <c r="AA98" s="11" t="s">
        <v>29</v>
      </c>
    </row>
    <row r="99" spans="1:27" x14ac:dyDescent="0.35">
      <c r="A99" s="11"/>
      <c r="B99" s="12"/>
      <c r="C99" s="11"/>
      <c r="D99" s="11"/>
      <c r="E99" s="11"/>
      <c r="F99" s="12"/>
      <c r="G99" s="12"/>
      <c r="H99" s="11"/>
      <c r="I99" s="11"/>
      <c r="J99" s="11"/>
      <c r="K99" s="12"/>
      <c r="L99" s="11"/>
      <c r="M99" s="11"/>
      <c r="N99" s="11"/>
      <c r="O99" s="11"/>
      <c r="P99" s="11"/>
      <c r="Q99" s="11"/>
      <c r="R99" s="12"/>
      <c r="S99" s="11"/>
      <c r="T99" s="11"/>
      <c r="U99" s="11" t="s">
        <v>29</v>
      </c>
      <c r="V99" s="12" t="s">
        <v>29</v>
      </c>
      <c r="W99" s="11" t="s">
        <v>29</v>
      </c>
      <c r="X99" s="11" t="s">
        <v>29</v>
      </c>
      <c r="Y99" s="11" t="s">
        <v>29</v>
      </c>
      <c r="Z99" s="12"/>
      <c r="AA99" s="11" t="s">
        <v>29</v>
      </c>
    </row>
    <row r="100" spans="1:27" x14ac:dyDescent="0.35">
      <c r="A100" s="11"/>
      <c r="B100" s="12"/>
      <c r="C100" s="11"/>
      <c r="D100" s="11"/>
      <c r="E100" s="11"/>
      <c r="F100" s="12"/>
      <c r="G100" s="12"/>
      <c r="H100" s="11"/>
      <c r="I100" s="11"/>
      <c r="J100" s="11"/>
      <c r="K100" s="12"/>
      <c r="L100" s="11"/>
      <c r="M100" s="11"/>
      <c r="N100" s="11"/>
      <c r="O100" s="11"/>
      <c r="P100" s="11"/>
      <c r="Q100" s="11"/>
      <c r="R100" s="12"/>
      <c r="S100" s="11"/>
      <c r="T100" s="11"/>
      <c r="U100" s="11" t="s">
        <v>29</v>
      </c>
      <c r="V100" s="12" t="s">
        <v>29</v>
      </c>
      <c r="W100" s="11" t="s">
        <v>29</v>
      </c>
      <c r="X100" s="11" t="s">
        <v>29</v>
      </c>
      <c r="Y100" s="11" t="s">
        <v>29</v>
      </c>
      <c r="Z100" s="12"/>
      <c r="AA100" s="11" t="s">
        <v>29</v>
      </c>
    </row>
    <row r="101" spans="1:27" x14ac:dyDescent="0.35">
      <c r="A101" s="11"/>
      <c r="B101" s="12"/>
      <c r="C101" s="11"/>
      <c r="D101" s="11"/>
      <c r="E101" s="11"/>
      <c r="F101" s="12"/>
      <c r="G101" s="12"/>
      <c r="H101" s="11"/>
      <c r="I101" s="11"/>
      <c r="J101" s="11"/>
      <c r="K101" s="12"/>
      <c r="L101" s="11"/>
      <c r="M101" s="11"/>
      <c r="N101" s="11"/>
      <c r="O101" s="11"/>
      <c r="P101" s="11"/>
      <c r="Q101" s="11"/>
      <c r="R101" s="12"/>
      <c r="S101" s="11"/>
      <c r="T101" s="11"/>
      <c r="U101" s="11" t="s">
        <v>29</v>
      </c>
      <c r="V101" s="12" t="s">
        <v>29</v>
      </c>
      <c r="W101" s="11" t="s">
        <v>29</v>
      </c>
      <c r="X101" s="11" t="s">
        <v>29</v>
      </c>
      <c r="Y101" s="11" t="s">
        <v>29</v>
      </c>
      <c r="Z101" s="12"/>
      <c r="AA101" s="11" t="s">
        <v>29</v>
      </c>
    </row>
    <row r="102" spans="1:27" x14ac:dyDescent="0.35">
      <c r="A102" s="11"/>
      <c r="B102" s="12"/>
      <c r="C102" s="11"/>
      <c r="D102" s="11"/>
      <c r="E102" s="11"/>
      <c r="F102" s="12"/>
      <c r="G102" s="12"/>
      <c r="H102" s="11"/>
      <c r="I102" s="11"/>
      <c r="J102" s="11"/>
      <c r="K102" s="12"/>
      <c r="L102" s="11"/>
      <c r="M102" s="11"/>
      <c r="N102" s="11"/>
      <c r="O102" s="11"/>
      <c r="P102" s="11"/>
      <c r="Q102" s="11"/>
      <c r="R102" s="12"/>
      <c r="S102" s="11"/>
      <c r="T102" s="11"/>
      <c r="U102" s="11" t="s">
        <v>29</v>
      </c>
      <c r="V102" s="12" t="s">
        <v>29</v>
      </c>
      <c r="W102" s="11" t="s">
        <v>29</v>
      </c>
      <c r="X102" s="11" t="s">
        <v>29</v>
      </c>
      <c r="Y102" s="11" t="s">
        <v>29</v>
      </c>
      <c r="Z102" s="12"/>
      <c r="AA102" s="11" t="s">
        <v>29</v>
      </c>
    </row>
    <row r="103" spans="1:27" x14ac:dyDescent="0.35">
      <c r="A103" s="11"/>
      <c r="B103" s="12"/>
      <c r="C103" s="11"/>
      <c r="D103" s="11"/>
      <c r="E103" s="11"/>
      <c r="F103" s="12"/>
      <c r="G103" s="12"/>
      <c r="H103" s="11"/>
      <c r="I103" s="11"/>
      <c r="J103" s="11"/>
      <c r="K103" s="12"/>
      <c r="L103" s="11"/>
      <c r="M103" s="11"/>
      <c r="N103" s="11"/>
      <c r="O103" s="11"/>
      <c r="P103" s="11"/>
      <c r="Q103" s="11"/>
      <c r="R103" s="12"/>
      <c r="S103" s="11"/>
      <c r="T103" s="11"/>
      <c r="U103" s="11" t="s">
        <v>29</v>
      </c>
      <c r="V103" s="12" t="s">
        <v>29</v>
      </c>
      <c r="W103" s="11" t="s">
        <v>29</v>
      </c>
      <c r="X103" s="11" t="s">
        <v>29</v>
      </c>
      <c r="Y103" s="11" t="s">
        <v>29</v>
      </c>
      <c r="Z103" s="12"/>
      <c r="AA103" s="11" t="s">
        <v>29</v>
      </c>
    </row>
    <row r="104" spans="1:27" x14ac:dyDescent="0.35">
      <c r="A104" s="11"/>
      <c r="B104" s="12"/>
      <c r="C104" s="11"/>
      <c r="D104" s="11"/>
      <c r="E104" s="11"/>
      <c r="F104" s="12"/>
      <c r="G104" s="12"/>
      <c r="H104" s="11"/>
      <c r="I104" s="11"/>
      <c r="J104" s="11"/>
      <c r="K104" s="12"/>
      <c r="L104" s="11"/>
      <c r="M104" s="11"/>
      <c r="N104" s="11"/>
      <c r="O104" s="11"/>
      <c r="P104" s="11"/>
      <c r="Q104" s="11"/>
      <c r="R104" s="12"/>
      <c r="S104" s="11"/>
      <c r="T104" s="11"/>
      <c r="U104" s="11" t="s">
        <v>29</v>
      </c>
      <c r="V104" s="12" t="s">
        <v>29</v>
      </c>
      <c r="W104" s="11" t="s">
        <v>29</v>
      </c>
      <c r="X104" s="11" t="s">
        <v>29</v>
      </c>
      <c r="Y104" s="11" t="s">
        <v>29</v>
      </c>
      <c r="Z104" s="12"/>
      <c r="AA104" s="11" t="s">
        <v>29</v>
      </c>
    </row>
  </sheetData>
  <autoFilter ref="A4:AA104" xr:uid="{00000000-0009-0000-0000-000001000000}"/>
  <mergeCells count="2">
    <mergeCell ref="A1:T1"/>
    <mergeCell ref="A2:T2"/>
  </mergeCells>
  <conditionalFormatting sqref="Q5:Q104">
    <cfRule type="expression" dxfId="8" priority="1">
      <formula>$Q5="Offer Received"</formula>
    </cfRule>
    <cfRule type="expression" dxfId="7" priority="2">
      <formula>OR($Q5="Applied",$Q5="Contacted",$Q5="Interviewing",$Q5="Follow-up Due",$Q5="Researching")</formula>
    </cfRule>
    <cfRule type="expression" dxfId="6" priority="3">
      <formula>$Q5="Rejected"</formula>
    </cfRule>
    <cfRule type="expression" dxfId="5" priority="5">
      <formula>$Q5="Offer Received"</formula>
    </cfRule>
    <cfRule type="expression" dxfId="4" priority="6">
      <formula>OR($Q5="Applied",$Q5="Contacted",$Q5="Interviewing",$Q5="Follow-up Due",$Q5="Researching")</formula>
    </cfRule>
    <cfRule type="expression" dxfId="3" priority="7">
      <formula>$Q5="Rejected"</formula>
    </cfRule>
  </conditionalFormatting>
  <conditionalFormatting sqref="R5:R104">
    <cfRule type="expression" dxfId="2" priority="4">
      <formula>AND($R5&lt;&gt;"",$R5&lt;=TODAY(),$Q5&lt;&gt;"Offer Received",$Q5&lt;&gt;"Rejected")</formula>
    </cfRule>
  </conditionalFormatting>
  <conditionalFormatting sqref="U5:AA104">
    <cfRule type="expression" dxfId="1" priority="9">
      <formula>ISNUMBER(SEARCH("Not confirmed",U5))</formula>
    </cfRule>
  </conditionalFormatting>
  <dataValidations count="2">
    <dataValidation type="list" allowBlank="1" showErrorMessage="1" sqref="Q5:Q104" xr:uid="{00000000-0002-0000-0100-000000000000}">
      <formula1>"Not Started,Researching,Contacted,Applied,Follow-up Due,Interviewing,Offer Received,Rejected,On Hold"</formula1>
    </dataValidation>
    <dataValidation type="list" allowBlank="1" showErrorMessage="1" sqref="J5:J104 L5:L104 M5:M104 N5:N104 O5:O104 U5:U104 V5:V104 W5:W104 X5:X104 Y5:Y104 AA5:AA104" xr:uid="{00000000-0002-0000-0100-000001000000}">
      <formula1>"Yes,No,Not confirmed,Pending"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7365D"/>
    <pageSetUpPr fitToPage="1"/>
  </sheetPr>
  <dimension ref="A1:G38"/>
  <sheetViews>
    <sheetView showGridLines="0" zoomScale="85" workbookViewId="0">
      <pane ySplit="4" topLeftCell="A5" activePane="bottomLeft" state="frozen"/>
      <selection pane="bottomLeft" activeCell="G4" sqref="G4"/>
    </sheetView>
  </sheetViews>
  <sheetFormatPr defaultRowHeight="14.5" x14ac:dyDescent="0.35"/>
  <cols>
    <col min="1" max="1" width="42" customWidth="1"/>
    <col min="2" max="2" width="22" customWidth="1"/>
    <col min="3" max="3" width="24" customWidth="1"/>
    <col min="4" max="4" width="22" customWidth="1"/>
    <col min="5" max="5" width="25" customWidth="1"/>
    <col min="6" max="6" width="57" customWidth="1"/>
    <col min="7" max="7" width="18" customWidth="1"/>
  </cols>
  <sheetData>
    <row r="1" spans="1:7" ht="32" customHeight="1" x14ac:dyDescent="0.35">
      <c r="A1" s="1" t="s">
        <v>145</v>
      </c>
    </row>
    <row r="2" spans="1:7" ht="58" customHeight="1" x14ac:dyDescent="0.35">
      <c r="A2" s="2" t="s">
        <v>146</v>
      </c>
    </row>
    <row r="4" spans="1:7" ht="26.5" x14ac:dyDescent="0.35">
      <c r="A4" s="26" t="s">
        <v>147</v>
      </c>
      <c r="B4" s="26" t="s">
        <v>148</v>
      </c>
      <c r="C4" s="26" t="s">
        <v>149</v>
      </c>
      <c r="D4" s="26" t="s">
        <v>150</v>
      </c>
      <c r="E4" s="26" t="s">
        <v>151</v>
      </c>
      <c r="F4" s="26" t="s">
        <v>152</v>
      </c>
      <c r="G4" s="26" t="s">
        <v>153</v>
      </c>
    </row>
    <row r="5" spans="1:7" ht="29" x14ac:dyDescent="0.35">
      <c r="A5" s="3" t="s">
        <v>154</v>
      </c>
      <c r="B5" s="13">
        <v>50000</v>
      </c>
      <c r="C5" s="13">
        <v>100000</v>
      </c>
      <c r="D5" s="13">
        <v>180000</v>
      </c>
      <c r="E5" s="13">
        <v>100000</v>
      </c>
      <c r="F5" s="3" t="s">
        <v>155</v>
      </c>
      <c r="G5" s="3" t="s">
        <v>156</v>
      </c>
    </row>
    <row r="6" spans="1:7" x14ac:dyDescent="0.35">
      <c r="A6" s="3" t="s">
        <v>157</v>
      </c>
      <c r="B6" s="13">
        <v>50000</v>
      </c>
      <c r="C6" s="13">
        <v>80000</v>
      </c>
      <c r="D6" s="13">
        <v>120000</v>
      </c>
      <c r="E6" s="13">
        <v>80000</v>
      </c>
      <c r="F6" s="3" t="s">
        <v>158</v>
      </c>
      <c r="G6" s="3" t="s">
        <v>156</v>
      </c>
    </row>
    <row r="7" spans="1:7" x14ac:dyDescent="0.35">
      <c r="A7" s="3" t="s">
        <v>159</v>
      </c>
      <c r="B7" s="13">
        <v>20000</v>
      </c>
      <c r="C7" s="13">
        <v>35000</v>
      </c>
      <c r="D7" s="13">
        <v>60000</v>
      </c>
      <c r="E7" s="13">
        <v>35000</v>
      </c>
      <c r="F7" s="3" t="s">
        <v>160</v>
      </c>
      <c r="G7" s="3" t="s">
        <v>156</v>
      </c>
    </row>
    <row r="8" spans="1:7" x14ac:dyDescent="0.35">
      <c r="A8" s="3" t="s">
        <v>161</v>
      </c>
      <c r="B8" s="13">
        <v>8000</v>
      </c>
      <c r="C8" s="13">
        <v>12000</v>
      </c>
      <c r="D8" s="13">
        <v>20000</v>
      </c>
      <c r="E8" s="13">
        <v>12000</v>
      </c>
      <c r="F8" s="3" t="s">
        <v>162</v>
      </c>
      <c r="G8" s="3" t="s">
        <v>156</v>
      </c>
    </row>
    <row r="9" spans="1:7" x14ac:dyDescent="0.35">
      <c r="A9" s="3" t="s">
        <v>163</v>
      </c>
      <c r="B9" s="13">
        <v>10000</v>
      </c>
      <c r="C9" s="13">
        <v>20000</v>
      </c>
      <c r="D9" s="13">
        <v>35000</v>
      </c>
      <c r="E9" s="13">
        <v>20000</v>
      </c>
      <c r="F9" s="3" t="s">
        <v>164</v>
      </c>
      <c r="G9" s="3" t="s">
        <v>156</v>
      </c>
    </row>
    <row r="10" spans="1:7" x14ac:dyDescent="0.35">
      <c r="A10" s="3" t="s">
        <v>165</v>
      </c>
      <c r="B10" s="13">
        <v>5000</v>
      </c>
      <c r="C10" s="13">
        <v>10000</v>
      </c>
      <c r="D10" s="13">
        <v>18000</v>
      </c>
      <c r="E10" s="13">
        <v>10000</v>
      </c>
      <c r="F10" s="3" t="s">
        <v>166</v>
      </c>
      <c r="G10" s="3" t="s">
        <v>156</v>
      </c>
    </row>
    <row r="11" spans="1:7" x14ac:dyDescent="0.35">
      <c r="A11" s="3" t="s">
        <v>167</v>
      </c>
      <c r="B11" s="13">
        <v>10000</v>
      </c>
      <c r="C11" s="13">
        <v>15000</v>
      </c>
      <c r="D11" s="13">
        <v>25000</v>
      </c>
      <c r="E11" s="13">
        <v>15000</v>
      </c>
      <c r="F11" s="3" t="s">
        <v>168</v>
      </c>
      <c r="G11" s="3" t="s">
        <v>156</v>
      </c>
    </row>
    <row r="12" spans="1:7" x14ac:dyDescent="0.35">
      <c r="A12" s="3" t="s">
        <v>169</v>
      </c>
      <c r="B12" s="13">
        <v>100000</v>
      </c>
      <c r="C12" s="13">
        <v>200000</v>
      </c>
      <c r="D12" s="13">
        <v>350000</v>
      </c>
      <c r="E12" s="13">
        <v>200000</v>
      </c>
      <c r="F12" s="3" t="s">
        <v>170</v>
      </c>
      <c r="G12" s="3" t="s">
        <v>171</v>
      </c>
    </row>
    <row r="13" spans="1:7" x14ac:dyDescent="0.35">
      <c r="A13" s="3" t="s">
        <v>172</v>
      </c>
      <c r="B13" s="13">
        <v>25000</v>
      </c>
      <c r="C13" s="13">
        <v>50000</v>
      </c>
      <c r="D13" s="13">
        <v>80000</v>
      </c>
      <c r="E13" s="13">
        <v>50000</v>
      </c>
      <c r="F13" s="3" t="s">
        <v>173</v>
      </c>
      <c r="G13" s="3" t="s">
        <v>171</v>
      </c>
    </row>
    <row r="14" spans="1:7" x14ac:dyDescent="0.35">
      <c r="B14" s="5"/>
      <c r="C14" s="5"/>
      <c r="D14" s="5"/>
      <c r="E14" s="5"/>
    </row>
    <row r="15" spans="1:7" x14ac:dyDescent="0.35">
      <c r="A15" t="s">
        <v>174</v>
      </c>
      <c r="B15" s="5"/>
      <c r="C15" s="5"/>
      <c r="D15" s="5"/>
      <c r="E15" s="14">
        <v>0</v>
      </c>
    </row>
    <row r="16" spans="1:7" x14ac:dyDescent="0.35">
      <c r="A16" t="s">
        <v>175</v>
      </c>
      <c r="E16" s="15">
        <v>6</v>
      </c>
    </row>
    <row r="17" spans="1:7" ht="21" x14ac:dyDescent="0.35">
      <c r="A17" s="1"/>
      <c r="B17" s="1"/>
      <c r="C17" s="1"/>
      <c r="D17" s="1"/>
      <c r="E17" s="1"/>
      <c r="F17" s="1"/>
      <c r="G17" s="1"/>
    </row>
    <row r="18" spans="1:7" x14ac:dyDescent="0.35">
      <c r="A18" s="16" t="s">
        <v>176</v>
      </c>
      <c r="E18" s="17" t="s">
        <v>29</v>
      </c>
    </row>
    <row r="19" spans="1:7" x14ac:dyDescent="0.35">
      <c r="A19" s="18" t="s">
        <v>177</v>
      </c>
      <c r="B19" s="7"/>
      <c r="E19" s="17" t="s">
        <v>29</v>
      </c>
    </row>
    <row r="20" spans="1:7" x14ac:dyDescent="0.35">
      <c r="A20" s="18" t="s">
        <v>178</v>
      </c>
      <c r="B20" s="7"/>
      <c r="E20" s="19">
        <v>0</v>
      </c>
    </row>
    <row r="21" spans="1:7" x14ac:dyDescent="0.35">
      <c r="A21" s="18" t="s">
        <v>137</v>
      </c>
      <c r="B21" s="7"/>
      <c r="E21" s="20" t="s">
        <v>179</v>
      </c>
    </row>
    <row r="22" spans="1:7" x14ac:dyDescent="0.35">
      <c r="A22" s="18" t="s">
        <v>180</v>
      </c>
      <c r="B22" s="7"/>
      <c r="E22" s="33" t="s">
        <v>181</v>
      </c>
      <c r="F22" s="34"/>
      <c r="G22" s="34"/>
    </row>
    <row r="23" spans="1:7" x14ac:dyDescent="0.35">
      <c r="A23" s="6"/>
      <c r="B23" s="7"/>
      <c r="E23" s="34"/>
      <c r="F23" s="34"/>
      <c r="G23" s="34"/>
    </row>
    <row r="24" spans="1:7" x14ac:dyDescent="0.35">
      <c r="A24" s="6"/>
      <c r="B24" s="8"/>
      <c r="E24" s="34"/>
      <c r="F24" s="34"/>
      <c r="G24" s="34"/>
    </row>
    <row r="25" spans="1:7" x14ac:dyDescent="0.35">
      <c r="A25" s="21" t="s">
        <v>182</v>
      </c>
    </row>
    <row r="26" spans="1:7" x14ac:dyDescent="0.35">
      <c r="A26" s="22" t="s">
        <v>183</v>
      </c>
      <c r="B26" s="23">
        <f>SUM(E5:E11)</f>
        <v>272000</v>
      </c>
    </row>
    <row r="27" spans="1:7" x14ac:dyDescent="0.35">
      <c r="A27" s="18" t="s">
        <v>184</v>
      </c>
      <c r="B27" s="23">
        <f>SUM(E12:E13)</f>
        <v>250000</v>
      </c>
    </row>
    <row r="28" spans="1:7" x14ac:dyDescent="0.35">
      <c r="A28" s="22" t="s">
        <v>185</v>
      </c>
      <c r="B28" s="23">
        <f>B26*E16+B27</f>
        <v>1882000</v>
      </c>
    </row>
    <row r="29" spans="1:7" x14ac:dyDescent="0.35">
      <c r="A29" s="22" t="s">
        <v>186</v>
      </c>
      <c r="B29" s="23">
        <f>E15*E16</f>
        <v>0</v>
      </c>
    </row>
    <row r="30" spans="1:7" x14ac:dyDescent="0.35">
      <c r="A30" s="22" t="s">
        <v>187</v>
      </c>
      <c r="B30" s="23">
        <f>E20+B29</f>
        <v>0</v>
      </c>
    </row>
    <row r="31" spans="1:7" x14ac:dyDescent="0.35">
      <c r="A31" s="22" t="s">
        <v>188</v>
      </c>
      <c r="B31" s="23">
        <f>MAX(0,B28-B30)</f>
        <v>1882000</v>
      </c>
    </row>
    <row r="32" spans="1:7" x14ac:dyDescent="0.35">
      <c r="A32" s="22" t="s">
        <v>189</v>
      </c>
      <c r="B32" s="23">
        <f>MAX(0,B30-B28)</f>
        <v>0</v>
      </c>
    </row>
    <row r="33" spans="1:7" x14ac:dyDescent="0.35">
      <c r="A33" s="22" t="s">
        <v>190</v>
      </c>
      <c r="B33" s="23">
        <f>E15-B26</f>
        <v>-272000</v>
      </c>
    </row>
    <row r="34" spans="1:7" ht="43.5" x14ac:dyDescent="0.35">
      <c r="A34" s="22" t="s">
        <v>191</v>
      </c>
      <c r="B34" s="24" t="str">
        <f>IF(OR(E18="Not confirmed",E19="Not confirmed"),"NO – confirm accommodation and stipend first",IF(AND(OR(E18="Yes",AND(E18="No",E5&gt;0)),OR(E19="Yes",E19="No"),B30&gt;=B28),"Potentially affordable – verify all terms in writing","NO – funding / accommodation plan is insufficient"))</f>
        <v>NO – confirm accommodation and stipend first</v>
      </c>
    </row>
    <row r="36" spans="1:7" x14ac:dyDescent="0.35">
      <c r="A36" s="21" t="s">
        <v>192</v>
      </c>
    </row>
    <row r="37" spans="1:7" x14ac:dyDescent="0.35">
      <c r="A37" s="32" t="s">
        <v>193</v>
      </c>
      <c r="B37" s="30"/>
      <c r="C37" s="30"/>
      <c r="D37" s="30"/>
      <c r="E37" s="30"/>
      <c r="F37" s="30"/>
      <c r="G37" s="30"/>
    </row>
    <row r="38" spans="1:7" x14ac:dyDescent="0.35">
      <c r="A38" s="30"/>
      <c r="B38" s="30"/>
      <c r="C38" s="30"/>
      <c r="D38" s="30"/>
      <c r="E38" s="30"/>
      <c r="F38" s="30"/>
      <c r="G38" s="30"/>
    </row>
  </sheetData>
  <mergeCells count="2">
    <mergeCell ref="A37:G38"/>
    <mergeCell ref="E22:G24"/>
  </mergeCells>
  <dataValidations count="2">
    <dataValidation type="list" sqref="E18:E19" xr:uid="{00000000-0002-0000-0200-000000000000}">
      <formula1>"Yes,No,Not confirmed"</formula1>
    </dataValidation>
    <dataValidation type="list" sqref="E21" xr:uid="{00000000-0002-0000-0200-000002000000}">
      <formula1>"Pending confirmation,Go – conditions met,Do not relocate,More information needed"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7365D"/>
    <pageSetUpPr fitToPage="1"/>
  </sheetPr>
  <dimension ref="A1:F104"/>
  <sheetViews>
    <sheetView showGridLines="0" zoomScale="85" workbookViewId="0">
      <pane ySplit="4" topLeftCell="A5" activePane="bottomLeft" state="frozen"/>
      <selection pane="bottomLeft" activeCell="F4" sqref="F4"/>
    </sheetView>
  </sheetViews>
  <sheetFormatPr defaultRowHeight="14.5" x14ac:dyDescent="0.35"/>
  <cols>
    <col min="1" max="1" width="38" customWidth="1"/>
    <col min="2" max="2" width="30" customWidth="1"/>
    <col min="3" max="3" width="22" customWidth="1"/>
    <col min="4" max="4" width="18" customWidth="1"/>
    <col min="5" max="5" width="38" customWidth="1"/>
    <col min="6" max="6" width="62" customWidth="1"/>
  </cols>
  <sheetData>
    <row r="1" spans="1:6" ht="32" customHeight="1" x14ac:dyDescent="0.35">
      <c r="A1" s="31" t="s">
        <v>194</v>
      </c>
      <c r="B1" s="30"/>
      <c r="C1" s="30"/>
      <c r="D1" s="30"/>
      <c r="E1" s="30"/>
      <c r="F1" s="30"/>
    </row>
    <row r="2" spans="1:6" ht="32" customHeight="1" x14ac:dyDescent="0.35">
      <c r="A2" s="29" t="s">
        <v>195</v>
      </c>
      <c r="B2" s="30"/>
      <c r="C2" s="30"/>
      <c r="D2" s="30"/>
      <c r="E2" s="30"/>
      <c r="F2" s="30"/>
    </row>
    <row r="4" spans="1:6" x14ac:dyDescent="0.35">
      <c r="A4" s="26" t="s">
        <v>196</v>
      </c>
      <c r="B4" s="26" t="s">
        <v>197</v>
      </c>
      <c r="C4" s="26" t="s">
        <v>198</v>
      </c>
      <c r="D4" s="26" t="s">
        <v>199</v>
      </c>
      <c r="E4" s="26" t="s">
        <v>200</v>
      </c>
      <c r="F4" s="26" t="s">
        <v>152</v>
      </c>
    </row>
    <row r="5" spans="1:6" x14ac:dyDescent="0.35">
      <c r="A5" s="3" t="s">
        <v>201</v>
      </c>
      <c r="B5" s="3" t="s">
        <v>202</v>
      </c>
      <c r="C5" s="3" t="s">
        <v>33</v>
      </c>
      <c r="D5" s="4"/>
      <c r="E5" s="3"/>
      <c r="F5" s="3" t="s">
        <v>203</v>
      </c>
    </row>
    <row r="6" spans="1:6" x14ac:dyDescent="0.35">
      <c r="A6" s="3" t="s">
        <v>204</v>
      </c>
      <c r="B6" s="3" t="s">
        <v>202</v>
      </c>
      <c r="C6" s="3" t="s">
        <v>33</v>
      </c>
      <c r="D6" s="4"/>
      <c r="E6" s="3"/>
      <c r="F6" s="3" t="s">
        <v>205</v>
      </c>
    </row>
    <row r="7" spans="1:6" x14ac:dyDescent="0.35">
      <c r="A7" s="3" t="s">
        <v>206</v>
      </c>
      <c r="B7" s="3" t="s">
        <v>202</v>
      </c>
      <c r="C7" s="3" t="s">
        <v>33</v>
      </c>
      <c r="D7" s="4"/>
      <c r="E7" s="3"/>
      <c r="F7" s="3" t="s">
        <v>207</v>
      </c>
    </row>
    <row r="8" spans="1:6" ht="29" x14ac:dyDescent="0.35">
      <c r="A8" s="3" t="s">
        <v>208</v>
      </c>
      <c r="B8" s="3" t="s">
        <v>209</v>
      </c>
      <c r="C8" s="3" t="s">
        <v>33</v>
      </c>
      <c r="D8" s="4"/>
      <c r="E8" s="3"/>
      <c r="F8" s="3" t="s">
        <v>210</v>
      </c>
    </row>
    <row r="9" spans="1:6" x14ac:dyDescent="0.35">
      <c r="A9" s="3" t="s">
        <v>211</v>
      </c>
      <c r="B9" s="3" t="s">
        <v>202</v>
      </c>
      <c r="C9" s="3" t="s">
        <v>33</v>
      </c>
      <c r="D9" s="4"/>
      <c r="E9" s="3"/>
      <c r="F9" s="3" t="s">
        <v>212</v>
      </c>
    </row>
    <row r="10" spans="1:6" ht="29" x14ac:dyDescent="0.35">
      <c r="A10" s="3" t="s">
        <v>213</v>
      </c>
      <c r="B10" s="3" t="s">
        <v>202</v>
      </c>
      <c r="C10" s="3" t="s">
        <v>33</v>
      </c>
      <c r="D10" s="4"/>
      <c r="E10" s="3"/>
      <c r="F10" s="3" t="s">
        <v>214</v>
      </c>
    </row>
    <row r="11" spans="1:6" x14ac:dyDescent="0.35">
      <c r="A11" s="3" t="s">
        <v>215</v>
      </c>
      <c r="B11" s="3" t="s">
        <v>216</v>
      </c>
      <c r="C11" s="3" t="s">
        <v>33</v>
      </c>
      <c r="D11" s="4"/>
      <c r="E11" s="3"/>
      <c r="F11" s="3" t="s">
        <v>217</v>
      </c>
    </row>
    <row r="12" spans="1:6" x14ac:dyDescent="0.35">
      <c r="A12" s="3" t="s">
        <v>218</v>
      </c>
      <c r="B12" s="3" t="s">
        <v>219</v>
      </c>
      <c r="C12" s="3" t="s">
        <v>33</v>
      </c>
      <c r="D12" s="4"/>
      <c r="E12" s="3"/>
      <c r="F12" s="3" t="s">
        <v>220</v>
      </c>
    </row>
    <row r="13" spans="1:6" x14ac:dyDescent="0.35">
      <c r="A13" s="3" t="s">
        <v>221</v>
      </c>
      <c r="B13" s="3" t="s">
        <v>216</v>
      </c>
      <c r="C13" s="3" t="s">
        <v>33</v>
      </c>
      <c r="D13" s="4"/>
      <c r="E13" s="3"/>
      <c r="F13" s="3" t="s">
        <v>222</v>
      </c>
    </row>
    <row r="14" spans="1:6" x14ac:dyDescent="0.35">
      <c r="A14" s="3" t="s">
        <v>223</v>
      </c>
      <c r="B14" s="3" t="s">
        <v>216</v>
      </c>
      <c r="C14" s="3" t="s">
        <v>33</v>
      </c>
      <c r="D14" s="4"/>
      <c r="E14" s="3"/>
      <c r="F14" s="3" t="s">
        <v>224</v>
      </c>
    </row>
    <row r="15" spans="1:6" x14ac:dyDescent="0.35">
      <c r="A15" s="3"/>
      <c r="B15" s="3"/>
      <c r="C15" s="3"/>
      <c r="D15" s="4"/>
      <c r="E15" s="3"/>
      <c r="F15" s="3"/>
    </row>
    <row r="16" spans="1:6" x14ac:dyDescent="0.35">
      <c r="A16" s="3"/>
      <c r="B16" s="3"/>
      <c r="C16" s="3"/>
      <c r="D16" s="4"/>
      <c r="E16" s="3"/>
      <c r="F16" s="3"/>
    </row>
    <row r="17" spans="1:6" x14ac:dyDescent="0.35">
      <c r="A17" s="3"/>
      <c r="B17" s="3"/>
      <c r="C17" s="3"/>
      <c r="D17" s="4"/>
      <c r="E17" s="3"/>
      <c r="F17" s="3"/>
    </row>
    <row r="18" spans="1:6" x14ac:dyDescent="0.35">
      <c r="A18" s="3"/>
      <c r="B18" s="3"/>
      <c r="C18" s="3"/>
      <c r="D18" s="4"/>
      <c r="E18" s="3"/>
      <c r="F18" s="3"/>
    </row>
    <row r="19" spans="1:6" x14ac:dyDescent="0.35">
      <c r="A19" s="3"/>
      <c r="B19" s="3"/>
      <c r="C19" s="3"/>
      <c r="D19" s="4"/>
      <c r="E19" s="3"/>
      <c r="F19" s="3"/>
    </row>
    <row r="20" spans="1:6" x14ac:dyDescent="0.35">
      <c r="A20" s="3"/>
      <c r="B20" s="3"/>
      <c r="C20" s="3"/>
      <c r="D20" s="4"/>
      <c r="E20" s="3"/>
      <c r="F20" s="3"/>
    </row>
    <row r="21" spans="1:6" x14ac:dyDescent="0.35">
      <c r="A21" s="3"/>
      <c r="B21" s="3"/>
      <c r="C21" s="3"/>
      <c r="D21" s="4"/>
      <c r="E21" s="3"/>
      <c r="F21" s="3"/>
    </row>
    <row r="22" spans="1:6" x14ac:dyDescent="0.35">
      <c r="A22" s="3"/>
      <c r="B22" s="3"/>
      <c r="C22" s="3"/>
      <c r="D22" s="4"/>
      <c r="E22" s="3"/>
      <c r="F22" s="3"/>
    </row>
    <row r="23" spans="1:6" x14ac:dyDescent="0.35">
      <c r="A23" s="3"/>
      <c r="B23" s="3"/>
      <c r="C23" s="3"/>
      <c r="D23" s="4"/>
      <c r="E23" s="3"/>
      <c r="F23" s="3"/>
    </row>
    <row r="24" spans="1:6" x14ac:dyDescent="0.35">
      <c r="A24" s="3"/>
      <c r="B24" s="3"/>
      <c r="C24" s="3"/>
      <c r="D24" s="4"/>
      <c r="E24" s="3"/>
      <c r="F24" s="3"/>
    </row>
    <row r="25" spans="1:6" x14ac:dyDescent="0.35">
      <c r="A25" s="3"/>
      <c r="B25" s="3"/>
      <c r="C25" s="3"/>
      <c r="D25" s="4"/>
      <c r="E25" s="3"/>
      <c r="F25" s="3"/>
    </row>
    <row r="26" spans="1:6" x14ac:dyDescent="0.35">
      <c r="A26" s="3"/>
      <c r="B26" s="3"/>
      <c r="C26" s="3"/>
      <c r="D26" s="4"/>
      <c r="E26" s="3"/>
      <c r="F26" s="3"/>
    </row>
    <row r="27" spans="1:6" x14ac:dyDescent="0.35">
      <c r="A27" s="3"/>
      <c r="B27" s="3"/>
      <c r="C27" s="3"/>
      <c r="D27" s="4"/>
      <c r="E27" s="3"/>
      <c r="F27" s="3"/>
    </row>
    <row r="28" spans="1:6" x14ac:dyDescent="0.35">
      <c r="A28" s="3"/>
      <c r="B28" s="3"/>
      <c r="C28" s="3"/>
      <c r="D28" s="4"/>
      <c r="E28" s="3"/>
      <c r="F28" s="3"/>
    </row>
    <row r="29" spans="1:6" x14ac:dyDescent="0.35">
      <c r="A29" s="3"/>
      <c r="B29" s="3"/>
      <c r="C29" s="3"/>
      <c r="D29" s="4"/>
      <c r="E29" s="3"/>
      <c r="F29" s="3"/>
    </row>
    <row r="30" spans="1:6" x14ac:dyDescent="0.35">
      <c r="A30" s="3"/>
      <c r="B30" s="3"/>
      <c r="C30" s="3"/>
      <c r="D30" s="4"/>
      <c r="E30" s="3"/>
      <c r="F30" s="3"/>
    </row>
    <row r="31" spans="1:6" x14ac:dyDescent="0.35">
      <c r="A31" s="3"/>
      <c r="B31" s="3"/>
      <c r="C31" s="3"/>
      <c r="D31" s="4"/>
      <c r="E31" s="3"/>
      <c r="F31" s="3"/>
    </row>
    <row r="32" spans="1:6" x14ac:dyDescent="0.35">
      <c r="A32" s="3"/>
      <c r="B32" s="3"/>
      <c r="C32" s="3"/>
      <c r="D32" s="4"/>
      <c r="E32" s="3"/>
      <c r="F32" s="3"/>
    </row>
    <row r="33" spans="1:6" x14ac:dyDescent="0.35">
      <c r="A33" s="3"/>
      <c r="B33" s="3"/>
      <c r="C33" s="3"/>
      <c r="D33" s="4"/>
      <c r="E33" s="3"/>
      <c r="F33" s="3"/>
    </row>
    <row r="34" spans="1:6" x14ac:dyDescent="0.35">
      <c r="A34" s="3"/>
      <c r="B34" s="3"/>
      <c r="C34" s="3"/>
      <c r="D34" s="4"/>
      <c r="E34" s="3"/>
      <c r="F34" s="3"/>
    </row>
    <row r="35" spans="1:6" x14ac:dyDescent="0.35">
      <c r="A35" s="3"/>
      <c r="B35" s="3"/>
      <c r="C35" s="3"/>
      <c r="D35" s="4"/>
      <c r="E35" s="3"/>
      <c r="F35" s="3"/>
    </row>
    <row r="36" spans="1:6" x14ac:dyDescent="0.35">
      <c r="A36" s="3"/>
      <c r="B36" s="3"/>
      <c r="C36" s="3"/>
      <c r="D36" s="4"/>
      <c r="E36" s="3"/>
      <c r="F36" s="3"/>
    </row>
    <row r="37" spans="1:6" x14ac:dyDescent="0.35">
      <c r="A37" s="3"/>
      <c r="B37" s="3"/>
      <c r="C37" s="3"/>
      <c r="D37" s="4"/>
      <c r="E37" s="3"/>
      <c r="F37" s="3"/>
    </row>
    <row r="38" spans="1:6" x14ac:dyDescent="0.35">
      <c r="A38" s="3"/>
      <c r="B38" s="3"/>
      <c r="C38" s="3"/>
      <c r="D38" s="4"/>
      <c r="E38" s="3"/>
      <c r="F38" s="3"/>
    </row>
    <row r="39" spans="1:6" x14ac:dyDescent="0.35">
      <c r="A39" s="3"/>
      <c r="B39" s="3"/>
      <c r="C39" s="3"/>
      <c r="D39" s="4"/>
      <c r="E39" s="3"/>
      <c r="F39" s="3"/>
    </row>
    <row r="40" spans="1:6" x14ac:dyDescent="0.35">
      <c r="A40" s="3"/>
      <c r="B40" s="3"/>
      <c r="C40" s="3"/>
      <c r="D40" s="4"/>
      <c r="E40" s="3"/>
      <c r="F40" s="3"/>
    </row>
    <row r="41" spans="1:6" x14ac:dyDescent="0.35">
      <c r="A41" s="3"/>
      <c r="B41" s="3"/>
      <c r="C41" s="3"/>
      <c r="D41" s="4"/>
      <c r="E41" s="3"/>
      <c r="F41" s="3"/>
    </row>
    <row r="42" spans="1:6" x14ac:dyDescent="0.35">
      <c r="A42" s="3"/>
      <c r="B42" s="3"/>
      <c r="C42" s="3"/>
      <c r="D42" s="4"/>
      <c r="E42" s="3"/>
      <c r="F42" s="3"/>
    </row>
    <row r="43" spans="1:6" x14ac:dyDescent="0.35">
      <c r="A43" s="3"/>
      <c r="B43" s="3"/>
      <c r="C43" s="3"/>
      <c r="D43" s="4"/>
      <c r="E43" s="3"/>
      <c r="F43" s="3"/>
    </row>
    <row r="44" spans="1:6" x14ac:dyDescent="0.35">
      <c r="A44" s="3"/>
      <c r="B44" s="3"/>
      <c r="C44" s="3"/>
      <c r="D44" s="4"/>
      <c r="E44" s="3"/>
      <c r="F44" s="3"/>
    </row>
    <row r="45" spans="1:6" x14ac:dyDescent="0.35">
      <c r="A45" s="3"/>
      <c r="B45" s="3"/>
      <c r="C45" s="3"/>
      <c r="D45" s="4"/>
      <c r="E45" s="3"/>
      <c r="F45" s="3"/>
    </row>
    <row r="46" spans="1:6" x14ac:dyDescent="0.35">
      <c r="A46" s="3"/>
      <c r="B46" s="3"/>
      <c r="C46" s="3"/>
      <c r="D46" s="4"/>
      <c r="E46" s="3"/>
      <c r="F46" s="3"/>
    </row>
    <row r="47" spans="1:6" x14ac:dyDescent="0.35">
      <c r="A47" s="3"/>
      <c r="B47" s="3"/>
      <c r="C47" s="3"/>
      <c r="D47" s="4"/>
      <c r="E47" s="3"/>
      <c r="F47" s="3"/>
    </row>
    <row r="48" spans="1:6" x14ac:dyDescent="0.35">
      <c r="A48" s="3"/>
      <c r="B48" s="3"/>
      <c r="C48" s="3"/>
      <c r="D48" s="4"/>
      <c r="E48" s="3"/>
      <c r="F48" s="3"/>
    </row>
    <row r="49" spans="1:6" x14ac:dyDescent="0.35">
      <c r="A49" s="3"/>
      <c r="B49" s="3"/>
      <c r="C49" s="3"/>
      <c r="D49" s="4"/>
      <c r="E49" s="3"/>
      <c r="F49" s="3"/>
    </row>
    <row r="50" spans="1:6" x14ac:dyDescent="0.35">
      <c r="A50" s="3"/>
      <c r="B50" s="3"/>
      <c r="C50" s="3"/>
      <c r="D50" s="4"/>
      <c r="E50" s="3"/>
      <c r="F50" s="3"/>
    </row>
    <row r="51" spans="1:6" x14ac:dyDescent="0.35">
      <c r="A51" s="3"/>
      <c r="B51" s="3"/>
      <c r="C51" s="3"/>
      <c r="D51" s="4"/>
      <c r="E51" s="3"/>
      <c r="F51" s="3"/>
    </row>
    <row r="52" spans="1:6" x14ac:dyDescent="0.35">
      <c r="A52" s="3"/>
      <c r="B52" s="3"/>
      <c r="C52" s="3"/>
      <c r="D52" s="4"/>
      <c r="E52" s="3"/>
      <c r="F52" s="3"/>
    </row>
    <row r="53" spans="1:6" x14ac:dyDescent="0.35">
      <c r="A53" s="3"/>
      <c r="B53" s="3"/>
      <c r="C53" s="3"/>
      <c r="D53" s="4"/>
      <c r="E53" s="3"/>
      <c r="F53" s="3"/>
    </row>
    <row r="54" spans="1:6" x14ac:dyDescent="0.35">
      <c r="A54" s="3"/>
      <c r="B54" s="3"/>
      <c r="C54" s="3"/>
      <c r="D54" s="4"/>
      <c r="E54" s="3"/>
      <c r="F54" s="3"/>
    </row>
    <row r="55" spans="1:6" x14ac:dyDescent="0.35">
      <c r="A55" s="3"/>
      <c r="B55" s="3"/>
      <c r="C55" s="3"/>
      <c r="D55" s="4"/>
      <c r="E55" s="3"/>
      <c r="F55" s="3"/>
    </row>
    <row r="56" spans="1:6" x14ac:dyDescent="0.35">
      <c r="A56" s="3"/>
      <c r="B56" s="3"/>
      <c r="C56" s="3"/>
      <c r="D56" s="4"/>
      <c r="E56" s="3"/>
      <c r="F56" s="3"/>
    </row>
    <row r="57" spans="1:6" x14ac:dyDescent="0.35">
      <c r="A57" s="3"/>
      <c r="B57" s="3"/>
      <c r="C57" s="3"/>
      <c r="D57" s="4"/>
      <c r="E57" s="3"/>
      <c r="F57" s="3"/>
    </row>
    <row r="58" spans="1:6" x14ac:dyDescent="0.35">
      <c r="A58" s="3"/>
      <c r="B58" s="3"/>
      <c r="C58" s="3"/>
      <c r="D58" s="4"/>
      <c r="E58" s="3"/>
      <c r="F58" s="3"/>
    </row>
    <row r="59" spans="1:6" x14ac:dyDescent="0.35">
      <c r="A59" s="3"/>
      <c r="B59" s="3"/>
      <c r="C59" s="3"/>
      <c r="D59" s="4"/>
      <c r="E59" s="3"/>
      <c r="F59" s="3"/>
    </row>
    <row r="60" spans="1:6" x14ac:dyDescent="0.35">
      <c r="A60" s="3"/>
      <c r="B60" s="3"/>
      <c r="C60" s="3"/>
      <c r="D60" s="4"/>
      <c r="E60" s="3"/>
      <c r="F60" s="3"/>
    </row>
    <row r="61" spans="1:6" x14ac:dyDescent="0.35">
      <c r="A61" s="3"/>
      <c r="B61" s="3"/>
      <c r="C61" s="3"/>
      <c r="D61" s="4"/>
      <c r="E61" s="3"/>
      <c r="F61" s="3"/>
    </row>
    <row r="62" spans="1:6" x14ac:dyDescent="0.35">
      <c r="A62" s="3"/>
      <c r="B62" s="3"/>
      <c r="C62" s="3"/>
      <c r="D62" s="4"/>
      <c r="E62" s="3"/>
      <c r="F62" s="3"/>
    </row>
    <row r="63" spans="1:6" x14ac:dyDescent="0.35">
      <c r="A63" s="3"/>
      <c r="B63" s="3"/>
      <c r="C63" s="3"/>
      <c r="D63" s="4"/>
      <c r="E63" s="3"/>
      <c r="F63" s="3"/>
    </row>
    <row r="64" spans="1:6" x14ac:dyDescent="0.35">
      <c r="A64" s="3"/>
      <c r="B64" s="3"/>
      <c r="C64" s="3"/>
      <c r="D64" s="4"/>
      <c r="E64" s="3"/>
      <c r="F64" s="3"/>
    </row>
    <row r="65" spans="1:6" x14ac:dyDescent="0.35">
      <c r="A65" s="3"/>
      <c r="B65" s="3"/>
      <c r="C65" s="3"/>
      <c r="D65" s="4"/>
      <c r="E65" s="3"/>
      <c r="F65" s="3"/>
    </row>
    <row r="66" spans="1:6" x14ac:dyDescent="0.35">
      <c r="A66" s="3"/>
      <c r="B66" s="3"/>
      <c r="C66" s="3"/>
      <c r="D66" s="4"/>
      <c r="E66" s="3"/>
      <c r="F66" s="3"/>
    </row>
    <row r="67" spans="1:6" x14ac:dyDescent="0.35">
      <c r="A67" s="3"/>
      <c r="B67" s="3"/>
      <c r="C67" s="3"/>
      <c r="D67" s="4"/>
      <c r="E67" s="3"/>
      <c r="F67" s="3"/>
    </row>
    <row r="68" spans="1:6" x14ac:dyDescent="0.35">
      <c r="A68" s="3"/>
      <c r="B68" s="3"/>
      <c r="C68" s="3"/>
      <c r="D68" s="4"/>
      <c r="E68" s="3"/>
      <c r="F68" s="3"/>
    </row>
    <row r="69" spans="1:6" x14ac:dyDescent="0.35">
      <c r="A69" s="3"/>
      <c r="B69" s="3"/>
      <c r="C69" s="3"/>
      <c r="D69" s="4"/>
      <c r="E69" s="3"/>
      <c r="F69" s="3"/>
    </row>
    <row r="70" spans="1:6" x14ac:dyDescent="0.35">
      <c r="A70" s="3"/>
      <c r="B70" s="3"/>
      <c r="C70" s="3"/>
      <c r="D70" s="4"/>
      <c r="E70" s="3"/>
      <c r="F70" s="3"/>
    </row>
    <row r="71" spans="1:6" x14ac:dyDescent="0.35">
      <c r="A71" s="3"/>
      <c r="B71" s="3"/>
      <c r="C71" s="3"/>
      <c r="D71" s="4"/>
      <c r="E71" s="3"/>
      <c r="F71" s="3"/>
    </row>
    <row r="72" spans="1:6" x14ac:dyDescent="0.35">
      <c r="A72" s="3"/>
      <c r="B72" s="3"/>
      <c r="C72" s="3"/>
      <c r="D72" s="4"/>
      <c r="E72" s="3"/>
      <c r="F72" s="3"/>
    </row>
    <row r="73" spans="1:6" x14ac:dyDescent="0.35">
      <c r="A73" s="3"/>
      <c r="B73" s="3"/>
      <c r="C73" s="3"/>
      <c r="D73" s="4"/>
      <c r="E73" s="3"/>
      <c r="F73" s="3"/>
    </row>
    <row r="74" spans="1:6" x14ac:dyDescent="0.35">
      <c r="A74" s="3"/>
      <c r="B74" s="3"/>
      <c r="C74" s="3"/>
      <c r="D74" s="4"/>
      <c r="E74" s="3"/>
      <c r="F74" s="3"/>
    </row>
    <row r="75" spans="1:6" x14ac:dyDescent="0.35">
      <c r="A75" s="3"/>
      <c r="B75" s="3"/>
      <c r="C75" s="3"/>
      <c r="D75" s="4"/>
      <c r="E75" s="3"/>
      <c r="F75" s="3"/>
    </row>
    <row r="76" spans="1:6" x14ac:dyDescent="0.35">
      <c r="A76" s="3"/>
      <c r="B76" s="3"/>
      <c r="C76" s="3"/>
      <c r="D76" s="4"/>
      <c r="E76" s="3"/>
      <c r="F76" s="3"/>
    </row>
    <row r="77" spans="1:6" x14ac:dyDescent="0.35">
      <c r="A77" s="3"/>
      <c r="B77" s="3"/>
      <c r="C77" s="3"/>
      <c r="D77" s="4"/>
      <c r="E77" s="3"/>
      <c r="F77" s="3"/>
    </row>
    <row r="78" spans="1:6" x14ac:dyDescent="0.35">
      <c r="A78" s="3"/>
      <c r="B78" s="3"/>
      <c r="C78" s="3"/>
      <c r="D78" s="4"/>
      <c r="E78" s="3"/>
      <c r="F78" s="3"/>
    </row>
    <row r="79" spans="1:6" x14ac:dyDescent="0.35">
      <c r="A79" s="3"/>
      <c r="B79" s="3"/>
      <c r="C79" s="3"/>
      <c r="D79" s="4"/>
      <c r="E79" s="3"/>
      <c r="F79" s="3"/>
    </row>
    <row r="80" spans="1:6" x14ac:dyDescent="0.35">
      <c r="A80" s="3"/>
      <c r="B80" s="3"/>
      <c r="C80" s="3"/>
      <c r="D80" s="4"/>
      <c r="E80" s="3"/>
      <c r="F80" s="3"/>
    </row>
    <row r="81" spans="1:6" x14ac:dyDescent="0.35">
      <c r="A81" s="3"/>
      <c r="B81" s="3"/>
      <c r="C81" s="3"/>
      <c r="D81" s="4"/>
      <c r="E81" s="3"/>
      <c r="F81" s="3"/>
    </row>
    <row r="82" spans="1:6" x14ac:dyDescent="0.35">
      <c r="A82" s="3"/>
      <c r="B82" s="3"/>
      <c r="C82" s="3"/>
      <c r="D82" s="4"/>
      <c r="E82" s="3"/>
      <c r="F82" s="3"/>
    </row>
    <row r="83" spans="1:6" x14ac:dyDescent="0.35">
      <c r="A83" s="3"/>
      <c r="B83" s="3"/>
      <c r="C83" s="3"/>
      <c r="D83" s="4"/>
      <c r="E83" s="3"/>
      <c r="F83" s="3"/>
    </row>
    <row r="84" spans="1:6" x14ac:dyDescent="0.35">
      <c r="A84" s="3"/>
      <c r="B84" s="3"/>
      <c r="C84" s="3"/>
      <c r="D84" s="4"/>
      <c r="E84" s="3"/>
      <c r="F84" s="3"/>
    </row>
    <row r="85" spans="1:6" x14ac:dyDescent="0.35">
      <c r="A85" s="3"/>
      <c r="B85" s="3"/>
      <c r="C85" s="3"/>
      <c r="D85" s="4"/>
      <c r="E85" s="3"/>
      <c r="F85" s="3"/>
    </row>
    <row r="86" spans="1:6" x14ac:dyDescent="0.35">
      <c r="A86" s="3"/>
      <c r="B86" s="3"/>
      <c r="C86" s="3"/>
      <c r="D86" s="4"/>
      <c r="E86" s="3"/>
      <c r="F86" s="3"/>
    </row>
    <row r="87" spans="1:6" x14ac:dyDescent="0.35">
      <c r="A87" s="3"/>
      <c r="B87" s="3"/>
      <c r="C87" s="3"/>
      <c r="D87" s="4"/>
      <c r="E87" s="3"/>
      <c r="F87" s="3"/>
    </row>
    <row r="88" spans="1:6" x14ac:dyDescent="0.35">
      <c r="A88" s="3"/>
      <c r="B88" s="3"/>
      <c r="C88" s="3"/>
      <c r="D88" s="4"/>
      <c r="E88" s="3"/>
      <c r="F88" s="3"/>
    </row>
    <row r="89" spans="1:6" x14ac:dyDescent="0.35">
      <c r="A89" s="3"/>
      <c r="B89" s="3"/>
      <c r="C89" s="3"/>
      <c r="D89" s="4"/>
      <c r="E89" s="3"/>
      <c r="F89" s="3"/>
    </row>
    <row r="90" spans="1:6" x14ac:dyDescent="0.35">
      <c r="A90" s="3"/>
      <c r="B90" s="3"/>
      <c r="C90" s="3"/>
      <c r="D90" s="4"/>
      <c r="E90" s="3"/>
      <c r="F90" s="3"/>
    </row>
    <row r="91" spans="1:6" x14ac:dyDescent="0.35">
      <c r="A91" s="3"/>
      <c r="B91" s="3"/>
      <c r="C91" s="3"/>
      <c r="D91" s="4"/>
      <c r="E91" s="3"/>
      <c r="F91" s="3"/>
    </row>
    <row r="92" spans="1:6" x14ac:dyDescent="0.35">
      <c r="A92" s="3"/>
      <c r="B92" s="3"/>
      <c r="C92" s="3"/>
      <c r="D92" s="4"/>
      <c r="E92" s="3"/>
      <c r="F92" s="3"/>
    </row>
    <row r="93" spans="1:6" x14ac:dyDescent="0.35">
      <c r="A93" s="3"/>
      <c r="B93" s="3"/>
      <c r="C93" s="3"/>
      <c r="D93" s="4"/>
      <c r="E93" s="3"/>
      <c r="F93" s="3"/>
    </row>
    <row r="94" spans="1:6" x14ac:dyDescent="0.35">
      <c r="A94" s="3"/>
      <c r="B94" s="3"/>
      <c r="C94" s="3"/>
      <c r="D94" s="4"/>
      <c r="E94" s="3"/>
      <c r="F94" s="3"/>
    </row>
    <row r="95" spans="1:6" x14ac:dyDescent="0.35">
      <c r="A95" s="3"/>
      <c r="B95" s="3"/>
      <c r="C95" s="3"/>
      <c r="D95" s="4"/>
      <c r="E95" s="3"/>
      <c r="F95" s="3"/>
    </row>
    <row r="96" spans="1:6" x14ac:dyDescent="0.35">
      <c r="A96" s="3"/>
      <c r="B96" s="3"/>
      <c r="C96" s="3"/>
      <c r="D96" s="4"/>
      <c r="E96" s="3"/>
      <c r="F96" s="3"/>
    </row>
    <row r="97" spans="1:6" x14ac:dyDescent="0.35">
      <c r="A97" s="3"/>
      <c r="B97" s="3"/>
      <c r="C97" s="3"/>
      <c r="D97" s="4"/>
      <c r="E97" s="3"/>
      <c r="F97" s="3"/>
    </row>
    <row r="98" spans="1:6" x14ac:dyDescent="0.35">
      <c r="A98" s="3"/>
      <c r="B98" s="3"/>
      <c r="C98" s="3"/>
      <c r="D98" s="4"/>
      <c r="E98" s="3"/>
      <c r="F98" s="3"/>
    </row>
    <row r="99" spans="1:6" x14ac:dyDescent="0.35">
      <c r="A99" s="3"/>
      <c r="B99" s="3"/>
      <c r="C99" s="3"/>
      <c r="D99" s="4"/>
      <c r="E99" s="3"/>
      <c r="F99" s="3"/>
    </row>
    <row r="100" spans="1:6" x14ac:dyDescent="0.35">
      <c r="A100" s="3"/>
      <c r="B100" s="3"/>
      <c r="C100" s="3"/>
      <c r="D100" s="4"/>
      <c r="E100" s="3"/>
      <c r="F100" s="3"/>
    </row>
    <row r="101" spans="1:6" x14ac:dyDescent="0.35">
      <c r="A101" s="3"/>
      <c r="B101" s="3"/>
      <c r="C101" s="3"/>
      <c r="D101" s="4"/>
      <c r="E101" s="3"/>
      <c r="F101" s="3"/>
    </row>
    <row r="102" spans="1:6" x14ac:dyDescent="0.35">
      <c r="A102" s="3"/>
      <c r="B102" s="3"/>
      <c r="C102" s="3"/>
      <c r="D102" s="4"/>
      <c r="E102" s="3"/>
      <c r="F102" s="3"/>
    </row>
    <row r="103" spans="1:6" x14ac:dyDescent="0.35">
      <c r="A103" s="3"/>
      <c r="B103" s="3"/>
      <c r="C103" s="3"/>
      <c r="D103" s="4"/>
      <c r="E103" s="3"/>
      <c r="F103" s="3"/>
    </row>
    <row r="104" spans="1:6" x14ac:dyDescent="0.35">
      <c r="A104" s="3"/>
      <c r="B104" s="3"/>
      <c r="C104" s="3"/>
      <c r="D104" s="4"/>
      <c r="E104" s="3"/>
      <c r="F104" s="3"/>
    </row>
  </sheetData>
  <autoFilter ref="A4:F104" xr:uid="{00000000-0009-0000-0000-000003000000}"/>
  <mergeCells count="2">
    <mergeCell ref="A2:F2"/>
    <mergeCell ref="A1:F1"/>
  </mergeCells>
  <conditionalFormatting sqref="C5:C104">
    <cfRule type="expression" dxfId="0" priority="1">
      <formula>$C5="Completed"</formula>
    </cfRule>
  </conditionalFormatting>
  <dataValidations count="1">
    <dataValidation type="list" allowBlank="1" sqref="C5:C100" xr:uid="{00000000-0002-0000-0300-000000000000}">
      <formula1>"Not Started,In Progress,Completed,Not Applicable"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AD47"/>
    <pageSetUpPr fitToPage="1"/>
  </sheetPr>
  <dimension ref="A1:H26"/>
  <sheetViews>
    <sheetView showGridLines="0" tabSelected="1" zoomScale="76" zoomScaleNormal="76" workbookViewId="0">
      <pane ySplit="3" topLeftCell="A4" activePane="bottomLeft" state="frozen"/>
      <selection pane="bottomLeft" activeCell="H38" sqref="H38"/>
    </sheetView>
  </sheetViews>
  <sheetFormatPr defaultRowHeight="14.5" x14ac:dyDescent="0.35"/>
  <cols>
    <col min="1" max="8" width="20" customWidth="1"/>
  </cols>
  <sheetData>
    <row r="1" spans="1:8" ht="32" customHeight="1" x14ac:dyDescent="0.35">
      <c r="A1" s="31" t="s">
        <v>225</v>
      </c>
      <c r="B1" s="30"/>
      <c r="C1" s="30"/>
      <c r="D1" s="30"/>
      <c r="E1" s="30"/>
      <c r="F1" s="30"/>
      <c r="G1" s="30"/>
      <c r="H1" s="30"/>
    </row>
    <row r="2" spans="1:8" ht="32" customHeight="1" x14ac:dyDescent="0.35">
      <c r="A2" s="29" t="s">
        <v>226</v>
      </c>
      <c r="B2" s="30"/>
      <c r="C2" s="30"/>
      <c r="D2" s="30"/>
      <c r="E2" s="30"/>
      <c r="F2" s="30"/>
      <c r="G2" s="30"/>
      <c r="H2" s="30"/>
    </row>
    <row r="4" spans="1:8" ht="25" customHeight="1" x14ac:dyDescent="0.35">
      <c r="A4" s="35" t="s">
        <v>227</v>
      </c>
      <c r="B4" s="36"/>
      <c r="C4" s="36"/>
      <c r="E4" s="35" t="s">
        <v>228</v>
      </c>
      <c r="F4" s="36"/>
      <c r="G4" s="36"/>
    </row>
    <row r="5" spans="1:8" ht="25" customHeight="1" x14ac:dyDescent="0.35">
      <c r="A5" s="37">
        <f>COUNTA('Company Shortlist'!B5:B16)</f>
        <v>12</v>
      </c>
      <c r="B5" s="30"/>
      <c r="C5" s="30"/>
      <c r="E5" s="37">
        <f>COUNTIF('Application Tracker'!F5:F104,"&gt;0")</f>
        <v>0</v>
      </c>
      <c r="F5" s="30"/>
      <c r="G5" s="30"/>
    </row>
    <row r="6" spans="1:8" ht="25" customHeight="1" x14ac:dyDescent="0.35"/>
    <row r="7" spans="1:8" ht="25" customHeight="1" x14ac:dyDescent="0.35">
      <c r="A7" s="35" t="s">
        <v>229</v>
      </c>
      <c r="B7" s="36"/>
      <c r="C7" s="36"/>
      <c r="E7" s="35" t="s">
        <v>230</v>
      </c>
      <c r="F7" s="36"/>
      <c r="G7" s="36"/>
    </row>
    <row r="8" spans="1:8" ht="25" customHeight="1" x14ac:dyDescent="0.35">
      <c r="A8" s="37">
        <f>COUNTIF('Application Tracker'!G5:G104,"&gt;0")</f>
        <v>0</v>
      </c>
      <c r="B8" s="30"/>
      <c r="C8" s="30"/>
      <c r="E8" s="37">
        <f>COUNTIF('Application Tracker'!J5:J104,"Yes")</f>
        <v>0</v>
      </c>
      <c r="F8" s="30"/>
      <c r="G8" s="30"/>
    </row>
    <row r="9" spans="1:8" ht="25" customHeight="1" x14ac:dyDescent="0.35"/>
    <row r="10" spans="1:8" ht="25" customHeight="1" x14ac:dyDescent="0.35">
      <c r="A10" s="35" t="s">
        <v>231</v>
      </c>
      <c r="B10" s="36"/>
      <c r="C10" s="36"/>
      <c r="E10" s="35" t="s">
        <v>232</v>
      </c>
      <c r="F10" s="36"/>
      <c r="G10" s="36"/>
    </row>
    <row r="11" spans="1:8" ht="25" customHeight="1" x14ac:dyDescent="0.35">
      <c r="A11" s="37">
        <f>COUNTIF('Application Tracker'!K5:K104,"&gt;0")</f>
        <v>0</v>
      </c>
      <c r="B11" s="30"/>
      <c r="C11" s="30"/>
      <c r="E11" s="37">
        <f>COUNTIF('Application Tracker'!Q5:Q104,"Offer Received")</f>
        <v>0</v>
      </c>
      <c r="F11" s="30"/>
      <c r="G11" s="30"/>
    </row>
    <row r="12" spans="1:8" ht="25" customHeight="1" x14ac:dyDescent="0.35"/>
    <row r="13" spans="1:8" ht="25" customHeight="1" x14ac:dyDescent="0.35">
      <c r="A13" s="35" t="s">
        <v>233</v>
      </c>
      <c r="B13" s="36"/>
      <c r="C13" s="36"/>
      <c r="E13" s="35" t="s">
        <v>234</v>
      </c>
      <c r="F13" s="36"/>
      <c r="G13" s="36"/>
    </row>
    <row r="14" spans="1:8" ht="25" customHeight="1" x14ac:dyDescent="0.35">
      <c r="A14" s="37">
        <f>COUNTIF('Application Tracker'!X5:X104,"Yes")</f>
        <v>0</v>
      </c>
      <c r="B14" s="30"/>
      <c r="C14" s="30"/>
      <c r="E14" s="37">
        <f>COUNTIF('Application Tracker'!V5:V104,"Yes")</f>
        <v>0</v>
      </c>
      <c r="F14" s="30"/>
      <c r="G14" s="30"/>
    </row>
    <row r="15" spans="1:8" ht="25" customHeight="1" x14ac:dyDescent="0.35"/>
    <row r="17" spans="1:5" x14ac:dyDescent="0.35">
      <c r="A17" s="27" t="s">
        <v>135</v>
      </c>
      <c r="B17" s="27" t="s">
        <v>235</v>
      </c>
      <c r="D17" s="27" t="s">
        <v>236</v>
      </c>
      <c r="E17" s="27" t="s">
        <v>235</v>
      </c>
    </row>
    <row r="18" spans="1:5" x14ac:dyDescent="0.35">
      <c r="A18" t="s">
        <v>33</v>
      </c>
      <c r="B18">
        <f>COUNTIF('Application Tracker'!Q5:Q104,A18)</f>
        <v>12</v>
      </c>
      <c r="D18" t="s">
        <v>154</v>
      </c>
      <c r="E18">
        <f>COUNTIF('Application Tracker'!X5:X104,"Yes")</f>
        <v>0</v>
      </c>
    </row>
    <row r="19" spans="1:5" x14ac:dyDescent="0.35">
      <c r="A19" t="s">
        <v>237</v>
      </c>
      <c r="B19">
        <f>COUNTIF('Application Tracker'!Q5:Q104,A19)</f>
        <v>0</v>
      </c>
      <c r="D19" t="s">
        <v>238</v>
      </c>
      <c r="E19">
        <f>COUNTIF('Application Tracker'!V5:V104,"Yes")</f>
        <v>0</v>
      </c>
    </row>
    <row r="20" spans="1:5" x14ac:dyDescent="0.35">
      <c r="A20" t="s">
        <v>239</v>
      </c>
      <c r="B20">
        <f>COUNTIF('Application Tracker'!Q5:Q104,A20)</f>
        <v>0</v>
      </c>
      <c r="D20" t="s">
        <v>240</v>
      </c>
      <c r="E20">
        <f>COUNTIF('Application Tracker'!AA5:AA104,"Yes")</f>
        <v>0</v>
      </c>
    </row>
    <row r="21" spans="1:5" x14ac:dyDescent="0.35">
      <c r="A21" t="s">
        <v>241</v>
      </c>
      <c r="B21">
        <f>COUNTIF('Application Tracker'!Q5:Q104,A21)</f>
        <v>0</v>
      </c>
    </row>
    <row r="22" spans="1:5" x14ac:dyDescent="0.35">
      <c r="A22" t="s">
        <v>242</v>
      </c>
      <c r="B22">
        <f>COUNTIF('Application Tracker'!Q5:Q104,A22)</f>
        <v>0</v>
      </c>
    </row>
    <row r="23" spans="1:5" x14ac:dyDescent="0.35">
      <c r="A23" t="s">
        <v>243</v>
      </c>
      <c r="B23">
        <f>COUNTIF('Application Tracker'!Q5:Q104,A23)</f>
        <v>0</v>
      </c>
    </row>
    <row r="24" spans="1:5" x14ac:dyDescent="0.35">
      <c r="A24" t="s">
        <v>244</v>
      </c>
      <c r="B24">
        <f>COUNTIF('Application Tracker'!Q5:Q104,A24)</f>
        <v>0</v>
      </c>
    </row>
    <row r="25" spans="1:5" x14ac:dyDescent="0.35">
      <c r="A25" t="s">
        <v>245</v>
      </c>
      <c r="B25">
        <f>COUNTIF('Application Tracker'!Q5:Q104,A25)</f>
        <v>0</v>
      </c>
    </row>
    <row r="26" spans="1:5" x14ac:dyDescent="0.35">
      <c r="A26" t="s">
        <v>246</v>
      </c>
      <c r="B26">
        <f>COUNTIF('Application Tracker'!Q5:Q104,A26)</f>
        <v>0</v>
      </c>
    </row>
  </sheetData>
  <mergeCells count="18">
    <mergeCell ref="E14:G14"/>
    <mergeCell ref="E5:G5"/>
    <mergeCell ref="A2:H2"/>
    <mergeCell ref="A8:C8"/>
    <mergeCell ref="E8:G8"/>
    <mergeCell ref="A14:C14"/>
    <mergeCell ref="E4:G4"/>
    <mergeCell ref="A7:C7"/>
    <mergeCell ref="A10:C10"/>
    <mergeCell ref="E10:G10"/>
    <mergeCell ref="A13:C13"/>
    <mergeCell ref="A11:C11"/>
    <mergeCell ref="E13:G13"/>
    <mergeCell ref="E11:G11"/>
    <mergeCell ref="A1:H1"/>
    <mergeCell ref="A4:C4"/>
    <mergeCell ref="E7:G7"/>
    <mergeCell ref="A5:C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Company Shortlist</vt:lpstr>
      <vt:lpstr>Application Tracker</vt:lpstr>
      <vt:lpstr>Relocation Budget</vt:lpstr>
      <vt:lpstr>Document Checklist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Mercy</dc:creator>
  <cp:lastModifiedBy>ijegbaiisaac@gmail.com</cp:lastModifiedBy>
  <dcterms:created xsi:type="dcterms:W3CDTF">2026-10-30T10:52:45Z</dcterms:created>
  <dcterms:modified xsi:type="dcterms:W3CDTF">2026-10-30T12:16:35Z</dcterms:modified>
</cp:coreProperties>
</file>